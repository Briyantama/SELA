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Summary" sheetId="2" state="visible" r:id="rId2"/>
    <sheet xmlns:r="http://schemas.openxmlformats.org/officeDocument/2006/relationships" name="Tracker" sheetId="3" state="visible" r:id="rId3"/>
    <sheet xmlns:r="http://schemas.openxmlformats.org/officeDocument/2006/relationships" name="Change Log" sheetId="4" state="visible" r:id="rId4"/>
    <sheet xmlns:r="http://schemas.openxmlformats.org/officeDocument/2006/relationships" name="Traceability" sheetId="5" state="visible" r:id="rId5"/>
  </sheets>
  <definedNames>
    <definedName name="_xlnm._FilterDatabase" localSheetId="2" hidden="1">'Tracker'!$A$1:$K$37</definedName>
    <definedName name="_xlnm._FilterDatabase" localSheetId="3" hidden="1">'Change Log'!$A$1:$H$26</definedName>
    <definedName name="_xlnm._FilterDatabase" localSheetId="4" hidden="1">'Traceability'!$A$1:$G$59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1"/>
    </font>
    <font>
      <b val="1"/>
      <sz val="11"/>
    </font>
    <font>
      <b val="1"/>
      <color rgb="00FFFFFF"/>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9" fontId="0" fillId="0" borderId="0" pivotButton="0" quotePrefix="0" xfId="0"/>
    <xf numFmtId="0" fontId="4"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dxfs count="4">
    <dxf>
      <fill>
        <patternFill patternType="solid">
          <fgColor rgb="00E7E6E6"/>
          <bgColor rgb="00E7E6E6"/>
        </patternFill>
      </fill>
    </dxf>
    <dxf>
      <fill>
        <patternFill patternType="solid">
          <fgColor rgb="00FFF2CC"/>
          <bgColor rgb="00FFF2CC"/>
        </patternFill>
      </fill>
    </dxf>
    <dxf>
      <fill>
        <patternFill patternType="solid">
          <fgColor rgb="00FCE4D6"/>
          <bgColor rgb="00FCE4D6"/>
        </patternFill>
      </fill>
    </dxf>
    <dxf>
      <fill>
        <patternFill patternType="solid">
          <fgColor rgb="00C6E0B4"/>
          <b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SELA progress tracker</t>
        </is>
      </c>
    </row>
    <row r="2">
      <c r="A2" s="2" t="inlineStr">
        <is>
          <t>Data as of 2026-09-23. Generated from docs/tracking/tracker.json and docs/FSD_Sela.md; do not edit this workbook by hand.</t>
        </is>
      </c>
    </row>
    <row r="3">
      <c r="A3" s="2" t="inlineStr">
        <is>
          <t>To update: edit tracker.json, then run `python scripts/build_tracker.py` (see docs/tracking/README.md).</t>
        </is>
      </c>
    </row>
    <row r="4">
      <c r="A4" s="2" t="inlineStr"/>
    </row>
    <row r="5">
      <c r="A5" s="3" t="inlineStr">
        <is>
          <t>Task statuses</t>
        </is>
      </c>
    </row>
    <row r="6">
      <c r="A6" s="2" t="inlineStr">
        <is>
          <t>Not Started: nothing committed for the task.</t>
        </is>
      </c>
    </row>
    <row r="7">
      <c r="A7" s="2" t="inlineStr">
        <is>
          <t>In Progress: RED test committed or work under way.</t>
        </is>
      </c>
    </row>
    <row r="8">
      <c r="A8" s="2" t="inlineStr">
        <is>
          <t>Pending Verification: implemented, but a stated verification step is still open (for example against real infrastructure).</t>
        </is>
      </c>
    </row>
    <row r="9">
      <c r="A9" s="2" t="inlineStr">
        <is>
          <t>Completed: RED and GREEN commits recorded, coverage &gt;= 80% where applicable, scripts/check.sh passes, docs synced.</t>
        </is>
      </c>
    </row>
    <row r="10">
      <c r="A10" s="2" t="inlineStr"/>
    </row>
    <row r="11">
      <c r="A11" s="2" t="inlineStr">
        <is>
          <t>Requirement statuses (Traceability sheet): Not Started, Partial, Completed.</t>
        </is>
      </c>
    </row>
    <row r="12">
      <c r="A12" s="2" t="inlineStr">
        <is>
          <t>Sheets: Summary (live counts), Tracker (one row per task and module), Change Log, Traceability (FR IDs).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20" customWidth="1" min="2" max="2"/>
    <col width="20" customWidth="1" min="3" max="3"/>
    <col width="20" customWidth="1" min="4" max="4"/>
    <col width="20" customWidth="1" min="5" max="5"/>
    <col width="20" customWidth="1" min="6" max="6"/>
    <col width="20" customWidth="1" min="7" max="7"/>
  </cols>
  <sheetData>
    <row r="1">
      <c r="A1" s="4" t="inlineStr">
        <is>
          <t>Phase / Milestone</t>
        </is>
      </c>
      <c r="B1" s="4" t="inlineStr">
        <is>
          <t>Not Started</t>
        </is>
      </c>
      <c r="C1" s="4" t="inlineStr">
        <is>
          <t>In Progress</t>
        </is>
      </c>
      <c r="D1" s="4" t="inlineStr">
        <is>
          <t>Pending Verification</t>
        </is>
      </c>
      <c r="E1" s="4" t="inlineStr">
        <is>
          <t>Completed</t>
        </is>
      </c>
      <c r="F1" s="4" t="inlineStr">
        <is>
          <t>Total</t>
        </is>
      </c>
      <c r="G1" s="4" t="inlineStr">
        <is>
          <t>% Completed</t>
        </is>
      </c>
    </row>
    <row r="2">
      <c r="A2" t="inlineStr">
        <is>
          <t>Milestone 1: Host creates an event</t>
        </is>
      </c>
      <c r="B2">
        <f>COUNTIFS(Tracker!$A:$A,$A2,Tracker!$E:$E,B$1)</f>
        <v/>
      </c>
      <c r="C2">
        <f>COUNTIFS(Tracker!$A:$A,$A2,Tracker!$E:$E,C$1)</f>
        <v/>
      </c>
      <c r="D2">
        <f>COUNTIFS(Tracker!$A:$A,$A2,Tracker!$E:$E,D$1)</f>
        <v/>
      </c>
      <c r="E2">
        <f>COUNTIFS(Tracker!$A:$A,$A2,Tracker!$E:$E,E$1)</f>
        <v/>
      </c>
      <c r="F2">
        <f>SUM(B2:E2)</f>
        <v/>
      </c>
      <c r="G2" s="5">
        <f>IF(F2=0,0,E2/F2)</f>
        <v/>
      </c>
    </row>
    <row r="3">
      <c r="A3" t="inlineStr">
        <is>
          <t>Milestone 2: Guest captures and uploads</t>
        </is>
      </c>
      <c r="B3">
        <f>COUNTIFS(Tracker!$A:$A,$A3,Tracker!$E:$E,B$1)</f>
        <v/>
      </c>
      <c r="C3">
        <f>COUNTIFS(Tracker!$A:$A,$A3,Tracker!$E:$E,C$1)</f>
        <v/>
      </c>
      <c r="D3">
        <f>COUNTIFS(Tracker!$A:$A,$A3,Tracker!$E:$E,D$1)</f>
        <v/>
      </c>
      <c r="E3">
        <f>COUNTIFS(Tracker!$A:$A,$A3,Tracker!$E:$E,E$1)</f>
        <v/>
      </c>
      <c r="F3">
        <f>SUM(B3:E3)</f>
        <v/>
      </c>
      <c r="G3" s="5">
        <f>IF(F3=0,0,E3/F3)</f>
        <v/>
      </c>
    </row>
    <row r="4">
      <c r="A4" t="inlineStr">
        <is>
          <t>Milestone 3: Role-correct gallery</t>
        </is>
      </c>
      <c r="B4">
        <f>COUNTIFS(Tracker!$A:$A,$A4,Tracker!$E:$E,B$1)</f>
        <v/>
      </c>
      <c r="C4">
        <f>COUNTIFS(Tracker!$A:$A,$A4,Tracker!$E:$E,C$1)</f>
        <v/>
      </c>
      <c r="D4">
        <f>COUNTIFS(Tracker!$A:$A,$A4,Tracker!$E:$E,D$1)</f>
        <v/>
      </c>
      <c r="E4">
        <f>COUNTIFS(Tracker!$A:$A,$A4,Tracker!$E:$E,E$1)</f>
        <v/>
      </c>
      <c r="F4">
        <f>SUM(B4:E4)</f>
        <v/>
      </c>
      <c r="G4" s="5">
        <f>IF(F4=0,0,E4/F4)</f>
        <v/>
      </c>
    </row>
    <row r="5">
      <c r="A5" t="inlineStr">
        <is>
          <t>Milestone 4: Moderate and export</t>
        </is>
      </c>
      <c r="B5">
        <f>COUNTIFS(Tracker!$A:$A,$A5,Tracker!$E:$E,B$1)</f>
        <v/>
      </c>
      <c r="C5">
        <f>COUNTIFS(Tracker!$A:$A,$A5,Tracker!$E:$E,C$1)</f>
        <v/>
      </c>
      <c r="D5">
        <f>COUNTIFS(Tracker!$A:$A,$A5,Tracker!$E:$E,D$1)</f>
        <v/>
      </c>
      <c r="E5">
        <f>COUNTIFS(Tracker!$A:$A,$A5,Tracker!$E:$E,E$1)</f>
        <v/>
      </c>
      <c r="F5">
        <f>SUM(B5:E5)</f>
        <v/>
      </c>
      <c r="G5" s="5">
        <f>IF(F5=0,0,E5/F5)</f>
        <v/>
      </c>
    </row>
    <row r="6">
      <c r="A6" t="inlineStr">
        <is>
          <t>Milestone 5: Plans and payment</t>
        </is>
      </c>
      <c r="B6">
        <f>COUNTIFS(Tracker!$A:$A,$A6,Tracker!$E:$E,B$1)</f>
        <v/>
      </c>
      <c r="C6">
        <f>COUNTIFS(Tracker!$A:$A,$A6,Tracker!$E:$E,C$1)</f>
        <v/>
      </c>
      <c r="D6">
        <f>COUNTIFS(Tracker!$A:$A,$A6,Tracker!$E:$E,D$1)</f>
        <v/>
      </c>
      <c r="E6">
        <f>COUNTIFS(Tracker!$A:$A,$A6,Tracker!$E:$E,E$1)</f>
        <v/>
      </c>
      <c r="F6">
        <f>SUM(B6:E6)</f>
        <v/>
      </c>
      <c r="G6" s="5">
        <f>IF(F6=0,0,E6/F6)</f>
        <v/>
      </c>
    </row>
    <row r="7">
      <c r="A7" t="inlineStr">
        <is>
          <t>Milestone 6: Privacy and compliance readiness</t>
        </is>
      </c>
      <c r="B7">
        <f>COUNTIFS(Tracker!$A:$A,$A7,Tracker!$E:$E,B$1)</f>
        <v/>
      </c>
      <c r="C7">
        <f>COUNTIFS(Tracker!$A:$A,$A7,Tracker!$E:$E,C$1)</f>
        <v/>
      </c>
      <c r="D7">
        <f>COUNTIFS(Tracker!$A:$A,$A7,Tracker!$E:$E,D$1)</f>
        <v/>
      </c>
      <c r="E7">
        <f>COUNTIFS(Tracker!$A:$A,$A7,Tracker!$E:$E,E$1)</f>
        <v/>
      </c>
      <c r="F7">
        <f>SUM(B7:E7)</f>
        <v/>
      </c>
      <c r="G7" s="5">
        <f>IF(F7=0,0,E7/F7)</f>
        <v/>
      </c>
    </row>
    <row r="8">
      <c r="A8" t="inlineStr">
        <is>
          <t>Milestone 7: Closed beta</t>
        </is>
      </c>
      <c r="B8">
        <f>COUNTIFS(Tracker!$A:$A,$A8,Tracker!$E:$E,B$1)</f>
        <v/>
      </c>
      <c r="C8">
        <f>COUNTIFS(Tracker!$A:$A,$A8,Tracker!$E:$E,C$1)</f>
        <v/>
      </c>
      <c r="D8">
        <f>COUNTIFS(Tracker!$A:$A,$A8,Tracker!$E:$E,D$1)</f>
        <v/>
      </c>
      <c r="E8">
        <f>COUNTIFS(Tracker!$A:$A,$A8,Tracker!$E:$E,E$1)</f>
        <v/>
      </c>
      <c r="F8">
        <f>SUM(B8:E8)</f>
        <v/>
      </c>
      <c r="G8" s="5">
        <f>IF(F8=0,0,E8/F8)</f>
        <v/>
      </c>
    </row>
    <row r="9">
      <c r="A9" t="inlineStr">
        <is>
          <t>Milestone 8: RBAC foundation (cross-cutting platform work)</t>
        </is>
      </c>
      <c r="B9">
        <f>COUNTIFS(Tracker!$A:$A,$A9,Tracker!$E:$E,B$1)</f>
        <v/>
      </c>
      <c r="C9">
        <f>COUNTIFS(Tracker!$A:$A,$A9,Tracker!$E:$E,C$1)</f>
        <v/>
      </c>
      <c r="D9">
        <f>COUNTIFS(Tracker!$A:$A,$A9,Tracker!$E:$E,D$1)</f>
        <v/>
      </c>
      <c r="E9">
        <f>COUNTIFS(Tracker!$A:$A,$A9,Tracker!$E:$E,E$1)</f>
        <v/>
      </c>
      <c r="F9">
        <f>SUM(B9:E9)</f>
        <v/>
      </c>
      <c r="G9" s="5">
        <f>IF(F9=0,0,E9/F9)</f>
        <v/>
      </c>
    </row>
    <row r="10">
      <c r="A10" t="inlineStr">
        <is>
          <t>Backlog: Should-have and later phases</t>
        </is>
      </c>
      <c r="B10">
        <f>COUNTIFS(Tracker!$A:$A,$A10,Tracker!$E:$E,B$1)</f>
        <v/>
      </c>
      <c r="C10">
        <f>COUNTIFS(Tracker!$A:$A,$A10,Tracker!$E:$E,C$1)</f>
        <v/>
      </c>
      <c r="D10">
        <f>COUNTIFS(Tracker!$A:$A,$A10,Tracker!$E:$E,D$1)</f>
        <v/>
      </c>
      <c r="E10">
        <f>COUNTIFS(Tracker!$A:$A,$A10,Tracker!$E:$E,E$1)</f>
        <v/>
      </c>
      <c r="F10">
        <f>SUM(B10:E10)</f>
        <v/>
      </c>
      <c r="G10" s="5">
        <f>IF(F10=0,0,E10/F10)</f>
        <v/>
      </c>
    </row>
    <row r="11">
      <c r="A11" t="inlineStr">
        <is>
          <t>All tasks</t>
        </is>
      </c>
      <c r="B11">
        <f>SUM(B2:B10)</f>
        <v/>
      </c>
      <c r="C11">
        <f>SUM(C2:C10)</f>
        <v/>
      </c>
      <c r="D11">
        <f>SUM(D2:D10)</f>
        <v/>
      </c>
      <c r="E11">
        <f>SUM(E2:E10)</f>
        <v/>
      </c>
      <c r="F11">
        <f>SUM(F2:F10)</f>
        <v/>
      </c>
      <c r="G11" s="5">
        <f>IF(F11=0,0,E11/F11)</f>
        <v/>
      </c>
    </row>
    <row r="13">
      <c r="A13" s="4" t="inlineStr">
        <is>
          <t>Requirements (FR IDs)</t>
        </is>
      </c>
      <c r="B13" s="4" t="inlineStr">
        <is>
          <t>Not Started</t>
        </is>
      </c>
      <c r="C13" s="4" t="inlineStr">
        <is>
          <t>Partial</t>
        </is>
      </c>
      <c r="D13" s="4" t="inlineStr">
        <is>
          <t>Completed</t>
        </is>
      </c>
      <c r="E13" s="4" t="inlineStr">
        <is>
          <t>Total</t>
        </is>
      </c>
    </row>
    <row r="14">
      <c r="A14" t="inlineStr">
        <is>
          <t>All FR IDs</t>
        </is>
      </c>
      <c r="B14">
        <f>COUNTIF(Traceability!$E:$E,B13)</f>
        <v/>
      </c>
      <c r="C14">
        <f>COUNTIF(Traceability!$E:$E,C13)</f>
        <v/>
      </c>
      <c r="D14">
        <f>COUNTIF(Traceability!$E:$E,D13)</f>
        <v/>
      </c>
      <c r="E14">
        <f>SUM(B14:D14)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55" customWidth="1" min="3" max="3"/>
    <col width="34" customWidth="1" min="4" max="4"/>
    <col width="20" customWidth="1" min="5" max="5"/>
    <col width="18" customWidth="1" min="6" max="6"/>
    <col width="20" customWidth="1" min="7" max="7"/>
    <col width="22" customWidth="1" min="8" max="8"/>
    <col width="26" customWidth="1" min="9" max="9"/>
    <col width="70" customWidth="1" min="10" max="10"/>
    <col width="14" customWidth="1" min="11" max="11"/>
  </cols>
  <sheetData>
    <row r="1">
      <c r="A1" s="6" t="inlineStr">
        <is>
          <t>Phase / Milestone</t>
        </is>
      </c>
      <c r="B1" s="6" t="inlineStr">
        <is>
          <t>Task ID</t>
        </is>
      </c>
      <c r="C1" s="6" t="inlineStr">
        <is>
          <t>Task &amp; Description</t>
        </is>
      </c>
      <c r="D1" s="6" t="inlineStr">
        <is>
          <t>Module / Service</t>
        </is>
      </c>
      <c r="E1" s="6" t="inlineStr">
        <is>
          <t>Status</t>
        </is>
      </c>
      <c r="F1" s="6" t="inlineStr">
        <is>
          <t>TDD: RED commit</t>
        </is>
      </c>
      <c r="G1" s="6" t="inlineStr">
        <is>
          <t>TDD: GREEN commit</t>
        </is>
      </c>
      <c r="H1" s="6" t="inlineStr">
        <is>
          <t>Test coverage</t>
        </is>
      </c>
      <c r="I1" s="6" t="inlineStr">
        <is>
          <t>FR IDs</t>
        </is>
      </c>
      <c r="J1" s="6" t="inlineStr">
        <is>
          <t>Key Deliverables / Artifacts</t>
        </is>
      </c>
      <c r="K1" s="6" t="inlineStr">
        <is>
          <t>Last Updated</t>
        </is>
      </c>
    </row>
    <row r="2">
      <c r="A2" s="7" t="inlineStr">
        <is>
          <t>Milestone 1: Host creates an event</t>
        </is>
      </c>
      <c r="B2" s="7" t="inlineStr">
        <is>
          <t>T1.1</t>
        </is>
      </c>
      <c r="C2" s="7" t="inlineStr">
        <is>
          <t>Task 1: Scaffold &amp; Tooling — Go API skeleton: JSON response envelope, health endpoint, API entrypoint</t>
        </is>
      </c>
      <c r="D2" s="7" t="inlineStr">
        <is>
          <t>internal/httpx, internal/health, cmd/api</t>
        </is>
      </c>
      <c r="E2" s="7" t="inlineStr">
        <is>
          <t>Completed</t>
        </is>
      </c>
      <c r="F2" s="7" t="inlineStr">
        <is>
          <t>aae2ee6</t>
        </is>
      </c>
      <c r="G2" s="7" t="inlineStr">
        <is>
          <t>bbc37ea 0bd97a3</t>
        </is>
      </c>
      <c r="H2" s="7" t="inlineStr">
        <is>
          <t>100%</t>
        </is>
      </c>
      <c r="I2" s="7" t="inlineStr"/>
      <c r="J2" s="7" t="inlineStr">
        <is>
          <t>httpx.WriteSuccess/WriteError ({success,data,error}); GET /healthz; graceful-shutdown server (later replaced by T3.7)</t>
        </is>
      </c>
      <c r="K2" s="7" t="inlineStr">
        <is>
          <t>2026-09-19</t>
        </is>
      </c>
    </row>
    <row r="3">
      <c r="A3" s="7" t="inlineStr">
        <is>
          <t>Milestone 1: Host creates an event</t>
        </is>
      </c>
      <c r="B3" s="7" t="inlineStr">
        <is>
          <t>T1.2</t>
        </is>
      </c>
      <c r="C3" s="7" t="inlineStr">
        <is>
          <t>Task 1: Scaffold &amp; Tooling — SvelteKit web app scaffold with Vitest and the client-side API envelope parser</t>
        </is>
      </c>
      <c r="D3" s="7" t="inlineStr">
        <is>
          <t>apps/web</t>
        </is>
      </c>
      <c r="E3" s="7" t="inlineStr">
        <is>
          <t>Completed</t>
        </is>
      </c>
      <c r="F3" s="7" t="inlineStr">
        <is>
          <t>5fa9976</t>
        </is>
      </c>
      <c r="G3" s="7" t="inlineStr">
        <is>
          <t>4443ea5</t>
        </is>
      </c>
      <c r="H3" s="7" t="inlineStr">
        <is>
          <t>100% lines / 91.7% branches</t>
        </is>
      </c>
      <c r="I3" s="7" t="inlineStr"/>
      <c r="J3" s="7" t="inlineStr">
        <is>
          <t>apps/web (Svelte 5, Vite 8); src/lib/api/envelope.ts with ApiError; Vitest with an 80% coverage threshold; svelte-check clean</t>
        </is>
      </c>
      <c r="K3" s="7" t="inlineStr">
        <is>
          <t>2026-09-19</t>
        </is>
      </c>
    </row>
    <row r="4">
      <c r="A4" s="7" t="inlineStr">
        <is>
          <t>Milestone 1: Host creates an event</t>
        </is>
      </c>
      <c r="B4" s="7" t="inlineStr">
        <is>
          <t>T1.3</t>
        </is>
      </c>
      <c r="C4" s="7" t="inlineStr">
        <is>
          <t>Task 1: Scaffold &amp; Tooling — Local dev infrastructure and the validation script</t>
        </is>
      </c>
      <c r="D4" s="7" t="inlineStr">
        <is>
          <t>deploy, scripts/check.sh</t>
        </is>
      </c>
      <c r="E4" s="7" t="inlineStr">
        <is>
          <t>Completed</t>
        </is>
      </c>
      <c r="F4" s="7" t="inlineStr">
        <is>
          <t>n/a (tooling)</t>
        </is>
      </c>
      <c r="G4" s="7" t="inlineStr">
        <is>
          <t>20ade0e cbeb530</t>
        </is>
      </c>
      <c r="H4" s="7" t="inlineStr">
        <is>
          <t>n/a</t>
        </is>
      </c>
      <c r="I4" s="7" t="inlineStr"/>
      <c r="J4" s="7" t="inlineStr">
        <is>
          <t>deploy/docker-compose.yml (Postgres, Redis, Mailpit, localhost-only); .env.example; scripts/check.sh; CLAUDE.md commands</t>
        </is>
      </c>
      <c r="K4" s="7" t="inlineStr">
        <is>
          <t>2026-09-19</t>
        </is>
      </c>
    </row>
    <row r="5">
      <c r="A5" s="7" t="inlineStr">
        <is>
          <t>Milestone 1: Host creates an event</t>
        </is>
      </c>
      <c r="B5" s="7" t="inlineStr">
        <is>
          <t>T2.1</t>
        </is>
      </c>
      <c r="C5" s="7" t="inlineStr">
        <is>
          <t>Task 2: Schema &amp; Category Presets — Migration runner and the hosts, event_categories and events schema</t>
        </is>
      </c>
      <c r="D5" s="7" t="inlineStr">
        <is>
          <t>internal/db (migrations 0001-0003)</t>
        </is>
      </c>
      <c r="E5" s="7" t="inlineStr">
        <is>
          <t>Completed</t>
        </is>
      </c>
      <c r="F5" s="7" t="inlineStr">
        <is>
          <t>9fe108b</t>
        </is>
      </c>
      <c r="G5" s="7" t="inlineStr">
        <is>
          <t>45b058c b0b5b25</t>
        </is>
      </c>
      <c r="H5" s="7" t="inlineStr">
        <is>
          <t>94.7%</t>
        </is>
      </c>
      <c r="I5" s="7" t="inlineStr">
        <is>
          <t>FR-01.1, FR-01.2, FR-01.3, FR-01.4</t>
        </is>
      </c>
      <c r="J5" s="7" t="inlineStr">
        <is>
          <t>goose runner (db.Up/db.Down); tables with constraints and indexes; six seeded categories with undefined defaults stored as 'tbd'; internal/testdb (fresh database per test)</t>
        </is>
      </c>
      <c r="K5" s="7" t="inlineStr">
        <is>
          <t>2026-09-19</t>
        </is>
      </c>
    </row>
    <row r="6">
      <c r="A6" s="7" t="inlineStr">
        <is>
          <t>Milestone 1: Host creates an event</t>
        </is>
      </c>
      <c r="B6" s="7" t="inlineStr">
        <is>
          <t>T3.1</t>
        </is>
      </c>
      <c r="C6" s="7" t="inlineStr">
        <is>
          <t>Task 3: Email OTP Auth for Hosts — cmd/migrate CLI to apply or revert SQL migrations</t>
        </is>
      </c>
      <c r="D6" s="7" t="inlineStr">
        <is>
          <t>cmd/migrate</t>
        </is>
      </c>
      <c r="E6" s="7" t="inlineStr">
        <is>
          <t>Completed</t>
        </is>
      </c>
      <c r="F6" s="7" t="inlineStr">
        <is>
          <t>f5935c9</t>
        </is>
      </c>
      <c r="G6" s="7" t="inlineStr">
        <is>
          <t>a1e047f b2ef0ef</t>
        </is>
      </c>
      <c r="H6" s="7" t="inlineStr">
        <is>
          <t>80.6%</t>
        </is>
      </c>
      <c r="I6" s="7" t="inlineStr"/>
      <c r="J6" s="7" t="inlineStr">
        <is>
          <t>go run ./cmd/migrate [up|down] reading DATABASE_URL; run(ctx, args, getenv, out) is unit-testable</t>
        </is>
      </c>
      <c r="K6" s="7" t="inlineStr">
        <is>
          <t>2026-09-19</t>
        </is>
      </c>
    </row>
    <row r="7">
      <c r="A7" s="7" t="inlineStr">
        <is>
          <t>Milestone 1: Host creates an event</t>
        </is>
      </c>
      <c r="B7" s="7" t="inlineStr">
        <is>
          <t>T3.2</t>
        </is>
      </c>
      <c r="C7" s="7" t="inlineStr">
        <is>
          <t>Task 3: Email OTP Auth for Hosts — Restructure the Go backend under apps/api</t>
        </is>
      </c>
      <c r="D7" s="7" t="inlineStr">
        <is>
          <t>apps/api (all Go code)</t>
        </is>
      </c>
      <c r="E7" s="7" t="inlineStr">
        <is>
          <t>Completed</t>
        </is>
      </c>
      <c r="F7" s="7" t="inlineStr">
        <is>
          <t>n/a (pure move; existing tests unchanged)</t>
        </is>
      </c>
      <c r="G7" s="7" t="inlineStr">
        <is>
          <t>aebe62e</t>
        </is>
      </c>
      <c r="H7" s="7" t="inlineStr">
        <is>
          <t>unchanged (all packages)</t>
        </is>
      </c>
      <c r="I7" s="7" t="inlineStr"/>
      <c r="J7" s="7" t="inlineStr">
        <is>
          <t>go.mod moved to apps/api (module path unchanged); cmd, internal moved; db became internal/db; scripts/check.sh runs Go steps in apps/api</t>
        </is>
      </c>
      <c r="K7" s="7" t="inlineStr">
        <is>
          <t>2026-09-19</t>
        </is>
      </c>
    </row>
    <row r="8">
      <c r="A8" s="7" t="inlineStr">
        <is>
          <t>Milestone 1: Host creates an event</t>
        </is>
      </c>
      <c r="B8" s="7" t="inlineStr">
        <is>
          <t>T3.3</t>
        </is>
      </c>
      <c r="C8" s="7" t="inlineStr">
        <is>
          <t>Task 3: Email OTP Auth for Hosts — gRPC contracts and the proto generation script</t>
        </is>
      </c>
      <c r="D8" s="7" t="inlineStr">
        <is>
          <t>api/proto/v1, gen/go, scripts/proto-gen.sh</t>
        </is>
      </c>
      <c r="E8" s="7" t="inlineStr">
        <is>
          <t>Completed</t>
        </is>
      </c>
      <c r="F8" s="7" t="inlineStr">
        <is>
          <t>409a125</t>
        </is>
      </c>
      <c r="G8" s="7" t="inlineStr">
        <is>
          <t>24c7281</t>
        </is>
      </c>
      <c r="H8" s="7" t="inlineStr">
        <is>
          <t>n/a (generated code)</t>
        </is>
      </c>
      <c r="I8" s="7" t="inlineStr">
        <is>
          <t>FR-09.1</t>
        </is>
      </c>
      <c r="J8" s="7" t="inlineStr">
        <is>
          <t>auth.proto (implemented) and event.proto (contract only); buf.yaml, buf.gen.yaml; committed gen/go; proto-gen.sh --check drift detection wired into check.sh</t>
        </is>
      </c>
      <c r="K8" s="7" t="inlineStr">
        <is>
          <t>2026-09-19</t>
        </is>
      </c>
    </row>
    <row r="9">
      <c r="A9" s="7" t="inlineStr">
        <is>
          <t>Milestone 1: Host creates an event</t>
        </is>
      </c>
      <c r="B9" s="7" t="inlineStr">
        <is>
          <t>T3.4</t>
        </is>
      </c>
      <c r="C9" s="7" t="inlineStr">
        <is>
          <t>Task 3: Email OTP Auth for Hosts — Environment configuration with validation and secret redaction</t>
        </is>
      </c>
      <c r="D9" s="7" t="inlineStr">
        <is>
          <t>internal/config</t>
        </is>
      </c>
      <c r="E9" s="7" t="inlineStr">
        <is>
          <t>Completed</t>
        </is>
      </c>
      <c r="F9" s="7" t="inlineStr">
        <is>
          <t>730db37</t>
        </is>
      </c>
      <c r="G9" s="7" t="inlineStr">
        <is>
          <t>3b1ab82</t>
        </is>
      </c>
      <c r="H9" s="7" t="inlineStr">
        <is>
          <t>100%</t>
        </is>
      </c>
      <c r="I9" s="7" t="inlineStr"/>
      <c r="J9" s="7" t="inlineStr">
        <is>
          <t>config.Load(getenv) reports every problem at once, never echoes secret values; Config.String() redacts secrets</t>
        </is>
      </c>
      <c r="K9" s="7" t="inlineStr">
        <is>
          <t>2026-09-19</t>
        </is>
      </c>
    </row>
    <row r="10">
      <c r="A10" s="7" t="inlineStr">
        <is>
          <t>Milestone 1: Host creates an event</t>
        </is>
      </c>
      <c r="B10" s="7" t="inlineStr">
        <is>
          <t>T3.5</t>
        </is>
      </c>
      <c r="C10" s="7" t="inlineStr">
        <is>
          <t>Task 3: Email OTP Auth for Hosts — Auth core: OTP lifecycle, Redis state, Postgres hosts, SMTP mailer, sessions</t>
        </is>
      </c>
      <c r="D10" s="7" t="inlineStr">
        <is>
          <t>services/auth</t>
        </is>
      </c>
      <c r="E10" s="7" t="inlineStr">
        <is>
          <t>Completed</t>
        </is>
      </c>
      <c r="F10" s="7" t="inlineStr">
        <is>
          <t>1043ded</t>
        </is>
      </c>
      <c r="G10" s="7" t="inlineStr">
        <is>
          <t>3c45e13</t>
        </is>
      </c>
      <c r="H10" s="7" t="inlineStr">
        <is>
          <t>80.2% at this commit (84.6% package total after T3.6)</t>
        </is>
      </c>
      <c r="I10" s="7" t="inlineStr">
        <is>
          <t>FR-09.1, FR-SEC.9, FR-SEC.4</t>
        </is>
      </c>
      <c r="J10" s="7" t="inlineStr">
        <is>
          <t>6-digit code stored as HMAC with 5 min TTL, single use; per-email and per-client rate limits; lockout after 5 wrong attempts for 15 min; hashed 12 h sessions; Postgres find-or-create host; SMTP mailer with header-injection guards</t>
        </is>
      </c>
      <c r="K10" s="7" t="inlineStr">
        <is>
          <t>2026-09-19</t>
        </is>
      </c>
    </row>
    <row r="11">
      <c r="A11" s="7" t="inlineStr">
        <is>
          <t>Milestone 1: Host creates an event</t>
        </is>
      </c>
      <c r="B11" s="7" t="inlineStr">
        <is>
          <t>T3.6</t>
        </is>
      </c>
      <c r="C11" s="7" t="inlineStr">
        <is>
          <t>Task 3: Email OTP Auth for Hosts — HTTP and gRPC adapters and the RequireHost middleware</t>
        </is>
      </c>
      <c r="D11" s="7" t="inlineStr">
        <is>
          <t>services/auth</t>
        </is>
      </c>
      <c r="E11" s="7" t="inlineStr">
        <is>
          <t>Completed</t>
        </is>
      </c>
      <c r="F11" s="7" t="inlineStr">
        <is>
          <t>ffed71f</t>
        </is>
      </c>
      <c r="G11" s="7" t="inlineStr">
        <is>
          <t>ce4729e</t>
        </is>
      </c>
      <c r="H11" s="7" t="inlineStr">
        <is>
          <t>84.6%</t>
        </is>
      </c>
      <c r="I11" s="7" t="inlineStr">
        <is>
          <t>FR-09.1, FR-SEC.4, FR-SEC.9</t>
        </is>
      </c>
      <c r="J11" s="7" t="inlineStr">
        <is>
          <t>POST /api/v1/auth/otp/request and /verify; HttpOnly SameSite=Lax session cookie, token never in a body; Retry-After on 429; X-Forwarded-For ignored; sela.auth.v1.AuthService server; RequireHost + HostID(ctx)</t>
        </is>
      </c>
      <c r="K11" s="7" t="inlineStr">
        <is>
          <t>2026-09-19</t>
        </is>
      </c>
    </row>
    <row r="12">
      <c r="A12" s="7" t="inlineStr">
        <is>
          <t>Milestone 1: Host creates an event</t>
        </is>
      </c>
      <c r="B12" s="7" t="inlineStr">
        <is>
          <t>T3.7</t>
        </is>
      </c>
      <c r="C12" s="7" t="inlineStr">
        <is>
          <t>Task 3: Email OTP Auth for Hosts — Wire config, Postgres, Redis, SMTP and auth into the API with an end-to-end test</t>
        </is>
      </c>
      <c r="D12" s="7" t="inlineStr">
        <is>
          <t>cmd/api</t>
        </is>
      </c>
      <c r="E12" s="7" t="inlineStr">
        <is>
          <t>Completed</t>
        </is>
      </c>
      <c r="F12" s="7" t="inlineStr">
        <is>
          <t>5a3dbe0 578bab2</t>
        </is>
      </c>
      <c r="G12" s="7" t="inlineStr">
        <is>
          <t>2bffd81 218243d</t>
        </is>
      </c>
      <c r="H12" s="7" t="inlineStr">
        <is>
          <t>81.7%</t>
        </is>
      </c>
      <c r="I12" s="7" t="inlineStr">
        <is>
          <t>FR-09.1</t>
        </is>
      </c>
      <c r="J12" s="7" t="inlineStr">
        <is>
          <t>HTTP :8080 + gRPC :9090 in one process; run(ctx, getenv) with graceful shutdown; end-to-end test over HTTP and gRPC against real Postgres, in-process Redis and SMTP; .env.example documents the variables</t>
        </is>
      </c>
      <c r="K12" s="7" t="inlineStr">
        <is>
          <t>2026-09-19</t>
        </is>
      </c>
    </row>
    <row r="13">
      <c r="A13" s="7" t="inlineStr">
        <is>
          <t>Milestone 1: Host creates an event</t>
        </is>
      </c>
      <c r="B13" s="7" t="inlineStr">
        <is>
          <t>T3.8</t>
        </is>
      </c>
      <c r="C13" s="7" t="inlineStr">
        <is>
          <t>Task 3: Email OTP Auth for Hosts — Verify against the real docker-compose Redis and Mailpit (Docker was not running during development)</t>
        </is>
      </c>
      <c r="D13" s="7" t="inlineStr">
        <is>
          <t>deploy, cmd/api</t>
        </is>
      </c>
      <c r="E13" s="7" t="inlineStr">
        <is>
          <t>Completed</t>
        </is>
      </c>
      <c r="F13" s="7" t="inlineStr">
        <is>
          <t>n/a</t>
        </is>
      </c>
      <c r="G13" s="7" t="inlineStr">
        <is>
          <t>n/a</t>
        </is>
      </c>
      <c r="H13" s="7" t="inlineStr">
        <is>
          <t>n/a</t>
        </is>
      </c>
      <c r="I13" s="7" t="inlineStr">
        <is>
          <t>FR-09.1</t>
        </is>
      </c>
      <c r="J13" s="7" t="inlineStr">
        <is>
          <t>Verified live on 2026-09-20 against docker compose Redis 7 (password) and Mailpit with the real cmd/api, via apps/web/tests/e2e/auth-live.spec.ts (6 checks, all pass, no service change needed) and the host happy path (sign-in read from the Mailpit inbox). Checked: email delivery and format, wrong/right code, cookie flags, no token in body, single use, hashes-only in Redis, rate limit (429 + Retry-After), lockout after 5 wrong codes.</t>
        </is>
      </c>
      <c r="K13" s="7" t="inlineStr">
        <is>
          <t>2026-09-20</t>
        </is>
      </c>
    </row>
    <row r="14">
      <c r="A14" s="7" t="inlineStr">
        <is>
          <t>Milestone 1: Host creates an event</t>
        </is>
      </c>
      <c r="B14" s="7" t="inlineStr">
        <is>
          <t>T3.9</t>
        </is>
      </c>
      <c r="C14" s="7" t="inlineStr">
        <is>
          <t>Task 3: Email OTP Auth for Hosts — Docs sync and this progress tracker</t>
        </is>
      </c>
      <c r="D14" s="7" t="inlineStr">
        <is>
          <t>docs (FSD v2.5), docs/tracking</t>
        </is>
      </c>
      <c r="E14" s="7" t="inlineStr">
        <is>
          <t>Completed</t>
        </is>
      </c>
      <c r="F14" s="7" t="inlineStr">
        <is>
          <t>n/a (documentation)</t>
        </is>
      </c>
      <c r="G14" s="7" t="inlineStr">
        <is>
          <t>n/a (docs/ is gitignored, not committed)</t>
        </is>
      </c>
      <c r="H14" s="7" t="inlineStr">
        <is>
          <t>n/a</t>
        </is>
      </c>
      <c r="I14" s="7" t="inlineStr"/>
      <c r="J14" s="7" t="inlineStr">
        <is>
          <t>FSD v2.5 (2.6, 4.9 note, 5 notes, 6 endpoints and gRPC, 8.6 parameters, 11.1 status); SELA_Progress_Tracker.xlsx and its build script scripts/build_tracker.py</t>
        </is>
      </c>
      <c r="K14" s="7" t="inlineStr">
        <is>
          <t>2026-09-19</t>
        </is>
      </c>
    </row>
    <row r="15">
      <c r="A15" s="7" t="inlineStr">
        <is>
          <t>Milestone 1: Host creates an event</t>
        </is>
      </c>
      <c r="B15" s="7" t="inlineStr">
        <is>
          <t>T3.10</t>
        </is>
      </c>
      <c r="C15" s="7" t="inlineStr">
        <is>
          <t>Task 3: Email OTP Auth for Hosts — Session logout/revocation endpoint and refresh token (remainder of FR-SEC.4)</t>
        </is>
      </c>
      <c r="D15" s="7" t="inlineStr">
        <is>
          <t>services/auth</t>
        </is>
      </c>
      <c r="E15" s="7" t="inlineStr">
        <is>
          <t>Not Started</t>
        </is>
      </c>
      <c r="F15" s="7" t="inlineStr"/>
      <c r="G15" s="7" t="inlineStr"/>
      <c r="H15" s="7" t="inlineStr"/>
      <c r="I15" s="7" t="inlineStr">
        <is>
          <t>FR-SEC.4</t>
        </is>
      </c>
      <c r="J15" s="7" t="inlineStr">
        <is>
          <t>Revocable sessions exposed through an endpoint; decide whether a refresh token is still needed</t>
        </is>
      </c>
      <c r="K15" s="7" t="inlineStr">
        <is>
          <t>2026-09-19</t>
        </is>
      </c>
    </row>
    <row r="16">
      <c r="A16" s="7" t="inlineStr">
        <is>
          <t>Milestone 1: Host creates an event</t>
        </is>
      </c>
      <c r="B16" s="7" t="inlineStr">
        <is>
          <t>T4.1</t>
        </is>
      </c>
      <c r="C16" s="7" t="inlineStr">
        <is>
          <t>Task 4: Event Service — Event domain: category presets with fallback defaults, event creation, short code and QR (PNG/SVG), host-scoped retrieval</t>
        </is>
      </c>
      <c r="D16" s="7" t="inlineStr">
        <is>
          <t>services/event (service, postgres repository, qr)</t>
        </is>
      </c>
      <c r="E16" s="7" t="inlineStr">
        <is>
          <t>Completed</t>
        </is>
      </c>
      <c r="F16" s="7" t="inlineStr">
        <is>
          <t>acbece7</t>
        </is>
      </c>
      <c r="G16" s="7" t="inlineStr">
        <is>
          <t>b726530</t>
        </is>
      </c>
      <c r="H16" s="7" t="inlineStr">
        <is>
          <t>90.9%</t>
        </is>
      </c>
      <c r="I16" s="7" t="inlineStr">
        <is>
          <t>FR-01.1, FR-01.2, FR-01.3, FR-01.4</t>
        </is>
      </c>
      <c r="J16" s="7" t="inlineStr">
        <is>
          <t>Effective defaults (host override, then defined category default, then unlimited/instant fallback); validation; 8-char base62 short codes with collision retry; 256-bit access token never returned; QR that decodes back to the short link (verified with a real decoder); reads filter by event_id AND host_id</t>
        </is>
      </c>
      <c r="K16" s="7" t="inlineStr">
        <is>
          <t>2026-09-20</t>
        </is>
      </c>
    </row>
    <row r="17">
      <c r="A17" s="7" t="inlineStr">
        <is>
          <t>Milestone 1: Host creates an event</t>
        </is>
      </c>
      <c r="B17" s="7" t="inlineStr">
        <is>
          <t>T4.2</t>
        </is>
      </c>
      <c r="C17" s="7" t="inlineStr">
        <is>
          <t>Task 4: Event Service — HTTP and gRPC adapters and their wiring into cmd/api</t>
        </is>
      </c>
      <c r="D17" s="7" t="inlineStr">
        <is>
          <t>services/event (http, grpc), cmd/api</t>
        </is>
      </c>
      <c r="E17" s="7" t="inlineStr">
        <is>
          <t>Completed</t>
        </is>
      </c>
      <c r="F17" s="7" t="inlineStr">
        <is>
          <t>6c65e04 aeb1251</t>
        </is>
      </c>
      <c r="G17" s="7" t="inlineStr">
        <is>
          <t>094e6bb cb7f51b 51a1ef0</t>
        </is>
      </c>
      <c r="H17" s="7" t="inlineStr">
        <is>
          <t>90.9% (services/event), 82.7% (cmd/api)</t>
        </is>
      </c>
      <c r="I17" s="7" t="inlineStr">
        <is>
          <t>FR-01.1, FR-01.2, FR-01.3, FR-01.4</t>
        </is>
      </c>
      <c r="J17" s="7" t="inlineStr">
        <is>
          <t>GET /api/v1/event-categories (public); POST /api/v1/events, GET /api/v1/events/{id}, GET .../qr.png and qr.svg behind RequireHost; sela.event.v1.EventService behind the Bearer interceptor; end-to-end test over HTTP and gRPC including a second host getting 404</t>
        </is>
      </c>
      <c r="K17" s="7" t="inlineStr">
        <is>
          <t>2026-09-20</t>
        </is>
      </c>
    </row>
    <row r="18">
      <c r="A18" s="7" t="inlineStr">
        <is>
          <t>Milestone 1: Host creates an event</t>
        </is>
      </c>
      <c r="B18" s="7" t="inlineStr">
        <is>
          <t>T4.3</t>
        </is>
      </c>
      <c r="C18" s="7" t="inlineStr">
        <is>
          <t>Task 4: Event Service — Supporting infrastructure: shared JSON decoder, SHORT_LINK_BASE_URL, event proto extension, gRPC host interceptor</t>
        </is>
      </c>
      <c r="D18" s="7" t="inlineStr">
        <is>
          <t>internal/httpx, internal/config, api/proto/v1/event.proto, services/auth</t>
        </is>
      </c>
      <c r="E18" s="7" t="inlineStr">
        <is>
          <t>Completed</t>
        </is>
      </c>
      <c r="F18" s="7" t="inlineStr">
        <is>
          <t>0a61dd6 1c9b2a8 6f8cf8e b1a51e3</t>
        </is>
      </c>
      <c r="G18" s="7" t="inlineStr">
        <is>
          <t>3861ee6 1110a02 ff5ae81 da51888</t>
        </is>
      </c>
      <c r="H18" s="7" t="inlineStr">
        <is>
          <t>100% (httpx), 100% (config), 85.1% (auth)</t>
        </is>
      </c>
      <c r="I18" s="7" t="inlineStr">
        <is>
          <t>FR-01.3, FR-SEC.4</t>
        </is>
      </c>
      <c r="J18" s="7" t="inlineStr">
        <is>
          <t>httpx.DecodeJSON (auth refactored onto it); required SHORT_LINK_BASE_URL (decision D4); Event.short_link/qr URLs and EventCategory effective_* fields; NewUnaryHostInterceptor with deny-by-default and a public allowlist</t>
        </is>
      </c>
      <c r="K18" s="7" t="inlineStr">
        <is>
          <t>2026-09-20</t>
        </is>
      </c>
    </row>
    <row r="19">
      <c r="A19" s="7" t="inlineStr">
        <is>
          <t>Milestone 1: Host creates an event</t>
        </is>
      </c>
      <c r="B19" s="7" t="inlineStr">
        <is>
          <t>T4.4</t>
        </is>
      </c>
      <c r="C19" s="7" t="inlineStr">
        <is>
          <t>Task 4: Event Service — Docs sync (FSD v2.6) and tracker update for Task 4</t>
        </is>
      </c>
      <c r="D19" s="7" t="inlineStr">
        <is>
          <t>docs (FSD v2.6), docs/tracking</t>
        </is>
      </c>
      <c r="E19" s="7" t="inlineStr">
        <is>
          <t>Completed</t>
        </is>
      </c>
      <c r="F19" s="7" t="inlineStr">
        <is>
          <t>n/a (documentation)</t>
        </is>
      </c>
      <c r="G19" s="7" t="inlineStr">
        <is>
          <t>n/a (docs/ is gitignored, not committed)</t>
        </is>
      </c>
      <c r="H19" s="7" t="inlineStr">
        <is>
          <t>n/a</t>
        </is>
      </c>
      <c r="I19" s="7" t="inlineStr"/>
      <c r="J19" s="7" t="inlineStr">
        <is>
          <t>FSD 4.1 implementation notes, 6 endpoints and gRPC, 11.1 status; this tracker</t>
        </is>
      </c>
      <c r="K19" s="7" t="inlineStr">
        <is>
          <t>2026-09-20</t>
        </is>
      </c>
    </row>
    <row r="20">
      <c r="A20" s="7" t="inlineStr">
        <is>
          <t>Milestone 1: Host creates an event</t>
        </is>
      </c>
      <c r="B20" s="7" t="inlineStr">
        <is>
          <t>T5.1</t>
        </is>
      </c>
      <c r="C20" s="7" t="inlineStr">
        <is>
          <t>Task 5: QR code and short link — Short-link resolver: GET /e/{short_code} (QR generation and the configurable base URL were delivered in T4.1 to T4.3)</t>
        </is>
      </c>
      <c r="D20" s="7" t="inlineStr">
        <is>
          <t>services/event</t>
        </is>
      </c>
      <c r="E20" s="7" t="inlineStr">
        <is>
          <t>Completed</t>
        </is>
      </c>
      <c r="F20" s="7" t="inlineStr">
        <is>
          <t>1c6b579 1c6fa33 e8c01ae bebb849</t>
        </is>
      </c>
      <c r="G20" s="7" t="inlineStr">
        <is>
          <t>4a9208e 97bdbe1 0e537e9</t>
        </is>
      </c>
      <c r="H20" s="7" t="inlineStr">
        <is>
          <t>91.3%</t>
        </is>
      </c>
      <c r="I20" s="7" t="inlineStr">
        <is>
          <t>FR-01.3</t>
        </is>
      </c>
      <c r="J20" s="7" t="inlineStr">
        <is>
          <t>Resolver for short links to a placeholder guest page until the guest camera exists (Milestone 2)</t>
        </is>
      </c>
      <c r="K20" s="7" t="inlineStr">
        <is>
          <t>2026-09-19</t>
        </is>
      </c>
    </row>
    <row r="21">
      <c r="A21" s="7" t="inlineStr">
        <is>
          <t>Milestone 1: Host creates an event</t>
        </is>
      </c>
      <c r="B21" s="7" t="inlineStr">
        <is>
          <t>T6.1</t>
        </is>
      </c>
      <c r="C21" s="7" t="inlineStr">
        <is>
          <t>Task 6: Host web flow — Sign-in, category picker, name and date form, result screen with QR and link</t>
        </is>
      </c>
      <c r="D21" s="7" t="inlineStr">
        <is>
          <t>apps/web</t>
        </is>
      </c>
      <c r="E21" s="7" t="inlineStr">
        <is>
          <t>Completed</t>
        </is>
      </c>
      <c r="F21" s="7" t="inlineStr">
        <is>
          <t>e22fc04 abfcf99 deb9be8 d205277 d1100f0 1d11def 7e82db3 63cce8a</t>
        </is>
      </c>
      <c r="G21" s="7" t="inlineStr">
        <is>
          <t>840a9e6 9718420 a625187 532c966 94f617f 41bd0e7 1b66d55 e89ee60</t>
        </is>
      </c>
      <c r="H21" s="7" t="inlineStr">
        <is>
          <t>99.7% lines, 90.2% branches, 96.8% statements, 97% functions (151 tests, 13 files)</t>
        </is>
      </c>
      <c r="I21" s="7" t="inlineStr">
        <is>
          <t>FR-01.1, FR-01.2, FR-01.3, FR-09.1</t>
        </is>
      </c>
      <c r="J21" s="7" t="inlineStr">
        <is>
          <t>Routes /auth/login (two-step email OTP), /events/new (category picker, name/date form, read-only WIB, collapsed advanced overrides), /events/[id] (short link with copy, QR image, PNG/SVG download); SPA (ssr off), same-origin /api Vite dev proxy, Indonesian mobile-first paper-and-ink design. Tooling commit 64bb0d2; test-only fix 2185cb4. Verified in a real browser against a stub API only: Redis/Mailpit were unavailable, so sign-in against the real API is still unverified (see T3.8).</t>
        </is>
      </c>
      <c r="K21" s="7" t="inlineStr">
        <is>
          <t>2026-09-20</t>
        </is>
      </c>
    </row>
    <row r="22">
      <c r="A22" s="7" t="inlineStr">
        <is>
          <t>Milestone 1: Host creates an event</t>
        </is>
      </c>
      <c r="B22" s="7" t="inlineStr">
        <is>
          <t>T6.2</t>
        </is>
      </c>
      <c r="C22" s="7" t="inlineStr">
        <is>
          <t>Task 6: Host web flow — Docs sync (FSD v2.8) and tracker update for Task 6</t>
        </is>
      </c>
      <c r="D22" s="7" t="inlineStr">
        <is>
          <t>docs (FSD v2.8), docs/tracking</t>
        </is>
      </c>
      <c r="E22" s="7" t="inlineStr">
        <is>
          <t>Completed</t>
        </is>
      </c>
      <c r="F22" s="7" t="inlineStr">
        <is>
          <t>n/a (documentation)</t>
        </is>
      </c>
      <c r="G22" s="7" t="inlineStr">
        <is>
          <t>n/a (docs/ is gitignored, not committed)</t>
        </is>
      </c>
      <c r="H22" s="7" t="inlineStr">
        <is>
          <t>n/a</t>
        </is>
      </c>
      <c r="I22" s="7" t="inlineStr"/>
      <c r="J22" s="7" t="inlineStr">
        <is>
          <t>FSD 10.1 implementation note, change row, 11.1 status; this tracker</t>
        </is>
      </c>
      <c r="K22" s="7" t="inlineStr">
        <is>
          <t>2026-09-20</t>
        </is>
      </c>
    </row>
    <row r="23">
      <c r="A23" s="7" t="inlineStr">
        <is>
          <t>Milestone 1: Host creates an event</t>
        </is>
      </c>
      <c r="B23" s="7" t="inlineStr">
        <is>
          <t>T7.1</t>
        </is>
      </c>
      <c r="C23" s="7" t="inlineStr">
        <is>
          <t>Task 7: Verify milestone outcome — Real-stack end-to-end test and automated timing against the 3-minute target (the human timing is T7.2)</t>
        </is>
      </c>
      <c r="D23" s="7" t="inlineStr">
        <is>
          <t>apps/web (tests/e2e), scripts/e2e.sh, scripts/check.sh</t>
        </is>
      </c>
      <c r="E23" s="7" t="inlineStr">
        <is>
          <t>Completed</t>
        </is>
      </c>
      <c r="F23" s="7" t="inlineStr">
        <is>
          <t>56159ff 70c75d0 44e0983</t>
        </is>
      </c>
      <c r="G23" s="7" t="inlineStr">
        <is>
          <t>29d31b5 fcdfe29 6037092 96d0a2a 7b11984</t>
        </is>
      </c>
      <c r="H23" s="7" t="inlineStr">
        <is>
          <t>n/a for e2e; helper unit tests 17 (168 unit tests total, web coverage 99.7% lines / 90.2% branches); 10 e2e tests pass on the real stack</t>
        </is>
      </c>
      <c r="I23" s="7" t="inlineStr">
        <is>
          <t>FR-01.1, FR-01.2, FR-01.3, FR-09.1</t>
        </is>
      </c>
      <c r="J23" s="7" t="inlineStr">
        <is>
          <t>Playwright (installed Chrome) against real cmd/api + Postgres + Redis + Mailpit via scripts/e2e.sh, also run by scripts/check.sh: sign-in from the Mailpit inbox, category, form, event, short link, QR PNG decoded back to the link, PNG/SVG downloads, cookie flags, guest resolver, reload, not-found, signed-out bounce. Scripted setup time 2.7-2.8 s warm (8.5 s cold first run) vs the 180 s target. Tooling commits 58b435f, d34c798.</t>
        </is>
      </c>
      <c r="K23" s="7" t="inlineStr">
        <is>
          <t>2026-09-20</t>
        </is>
      </c>
    </row>
    <row r="24">
      <c r="A24" s="7" t="inlineStr">
        <is>
          <t>Milestone 1: Host creates an event</t>
        </is>
      </c>
      <c r="B24" s="7" t="inlineStr">
        <is>
          <t>T7.2</t>
        </is>
      </c>
      <c r="C24" s="7" t="inlineStr">
        <is>
          <t>Task 7: Verify milestone outcome — Human timed usability check: median setup time of 3-5 first-time hosts against the PRD metric (3 minutes or less, no documentation)</t>
        </is>
      </c>
      <c r="D24" s="7" t="inlineStr">
        <is>
          <t>docs/tracking (usability_sessions.csv)</t>
        </is>
      </c>
      <c r="E24" s="7" t="inlineStr">
        <is>
          <t>Pending Verification</t>
        </is>
      </c>
      <c r="F24" s="7" t="inlineStr">
        <is>
          <t>n/a</t>
        </is>
      </c>
      <c r="G24" s="7" t="inlineStr">
        <is>
          <t>n/a</t>
        </is>
      </c>
      <c r="H24" s="7" t="inlineStr">
        <is>
          <t>n/a</t>
        </is>
      </c>
      <c r="I24" s="7" t="inlineStr">
        <is>
          <t>FR-01.1, FR-01.2, FR-01.3</t>
        </is>
      </c>
      <c r="J24" s="7" t="inlineStr">
        <is>
          <t>Protocol in docs/tracking/README.md and an empty session template docs/tracking/usability_sessions.csv exist; no sessions have been run. Needs 3-5 first-time hosts; the median of total_s is compared with 180 s and recorded in the PRD metrics table. Automation (T7.1) cannot stand in for it.</t>
        </is>
      </c>
      <c r="K24" s="7" t="inlineStr">
        <is>
          <t>2026-09-20</t>
        </is>
      </c>
    </row>
    <row r="25">
      <c r="A25" s="7" t="inlineStr">
        <is>
          <t>Milestone 1: Host creates an event</t>
        </is>
      </c>
      <c r="B25" s="7" t="inlineStr">
        <is>
          <t>T7.3</t>
        </is>
      </c>
      <c r="C25" s="7" t="inlineStr">
        <is>
          <t>Task 7: Verify milestone outcome — Docs sync (FSD v2.9) and tracker update for Task 7</t>
        </is>
      </c>
      <c r="D25" s="7" t="inlineStr">
        <is>
          <t>docs (FSD v2.9), docs/tracking, CLAUDE.md</t>
        </is>
      </c>
      <c r="E25" s="7" t="inlineStr">
        <is>
          <t>Completed</t>
        </is>
      </c>
      <c r="F25" s="7" t="inlineStr">
        <is>
          <t>n/a (documentation)</t>
        </is>
      </c>
      <c r="G25" s="7" t="inlineStr">
        <is>
          <t>n/a (FSD/CLAUDE.md are gitignored .md files; the tracker files are versioned)</t>
        </is>
      </c>
      <c r="H25" s="7" t="inlineStr">
        <is>
          <t>n/a</t>
        </is>
      </c>
      <c r="I25" s="7" t="inlineStr"/>
      <c r="J25" s="7" t="inlineStr">
        <is>
          <t>FSD change row, 8.6 live-verification note, 10.1 e2e/timing note, 11.1; tracking README timed-check protocol; this tracker</t>
        </is>
      </c>
      <c r="K25" s="7" t="inlineStr">
        <is>
          <t>2026-09-20</t>
        </is>
      </c>
    </row>
    <row r="26">
      <c r="A26" s="7" t="inlineStr">
        <is>
          <t>Milestone 2: Guest captures and uploads</t>
        </is>
      </c>
      <c r="B26" s="7" t="inlineStr">
        <is>
          <t>M2.1</t>
        </is>
      </c>
      <c r="C26" s="7" t="inlineStr">
        <is>
          <t>Milestone 2 (not yet planned) — Guest scan, camera, upload with quota, gallery upload</t>
        </is>
      </c>
      <c r="D26" s="7" t="inlineStr">
        <is>
          <t>apps/web, services/media, services/event</t>
        </is>
      </c>
      <c r="E26" s="7" t="inlineStr">
        <is>
          <t>Not Started</t>
        </is>
      </c>
      <c r="F26" s="7" t="inlineStr"/>
      <c r="G26" s="7" t="inlineStr"/>
      <c r="H26" s="7" t="inlineStr"/>
      <c r="I26" s="7" t="inlineStr">
        <is>
          <t>FR-02.1-02.4, FR-03.1-03.6, FR-04.1-04.2, FR-SEC.2, FR-SEC.3</t>
        </is>
      </c>
      <c r="J26" s="7" t="inlineStr">
        <is>
          <t>Guest session, PWA camera pipeline, Redis shot quota, upload validation</t>
        </is>
      </c>
      <c r="K26" s="7" t="inlineStr">
        <is>
          <t>2026-09-19</t>
        </is>
      </c>
    </row>
    <row r="27">
      <c r="A27" s="7" t="inlineStr">
        <is>
          <t>Milestone 3: Role-correct gallery</t>
        </is>
      </c>
      <c r="B27" s="7" t="inlineStr">
        <is>
          <t>M3.1</t>
        </is>
      </c>
      <c r="C27" s="7" t="inlineStr">
        <is>
          <t>Milestone 3 (not yet planned) — Role-correct gallery, reveal timer, real-time channels</t>
        </is>
      </c>
      <c r="D27" s="7" t="inlineStr">
        <is>
          <t>services/gallery, services/realtime</t>
        </is>
      </c>
      <c r="E27" s="7" t="inlineStr">
        <is>
          <t>Not Started</t>
        </is>
      </c>
      <c r="F27" s="7" t="inlineStr"/>
      <c r="G27" s="7" t="inlineStr"/>
      <c r="H27" s="7" t="inlineStr"/>
      <c r="I27" s="7" t="inlineStr">
        <is>
          <t>FR-05.1-05.6</t>
        </is>
      </c>
      <c r="J27" s="7" t="inlineStr">
        <is>
          <t>Host sees all media, guest only their own, WebSocket channels split by role</t>
        </is>
      </c>
      <c r="K27" s="7" t="inlineStr">
        <is>
          <t>2026-09-19</t>
        </is>
      </c>
    </row>
    <row r="28">
      <c r="A28" s="7" t="inlineStr">
        <is>
          <t>Milestone 4: Moderate and export</t>
        </is>
      </c>
      <c r="B28" s="7" t="inlineStr">
        <is>
          <t>M4.1</t>
        </is>
      </c>
      <c r="C28" s="7" t="inlineStr">
        <is>
          <t>Milestone 4 (not yet planned) — Moderation and full-gallery ZIP export</t>
        </is>
      </c>
      <c r="D28" s="7" t="inlineStr">
        <is>
          <t>services/gallery, services/media</t>
        </is>
      </c>
      <c r="E28" s="7" t="inlineStr">
        <is>
          <t>Not Started</t>
        </is>
      </c>
      <c r="F28" s="7" t="inlineStr"/>
      <c r="G28" s="7" t="inlineStr"/>
      <c r="H28" s="7" t="inlineStr"/>
      <c r="I28" s="7" t="inlineStr">
        <is>
          <t>FR-06.1-06.4, FR-07.1-07.3</t>
        </is>
      </c>
      <c r="J28" s="7" t="inlineStr">
        <is>
          <t>Hide/delete, asynchronous ZIP export, share links</t>
        </is>
      </c>
      <c r="K28" s="7" t="inlineStr">
        <is>
          <t>2026-09-19</t>
        </is>
      </c>
    </row>
    <row r="29">
      <c r="A29" s="7" t="inlineStr">
        <is>
          <t>Milestone 5: Plans and payment</t>
        </is>
      </c>
      <c r="B29" s="7" t="inlineStr">
        <is>
          <t>M5.1</t>
        </is>
      </c>
      <c r="C29" s="7" t="inlineStr">
        <is>
          <t>Milestone 5 (not yet planned) — Plans, package recommendation and payment (QRIS, e-wallet, card)</t>
        </is>
      </c>
      <c r="D29" s="7" t="inlineStr">
        <is>
          <t>services/payment, services/event</t>
        </is>
      </c>
      <c r="E29" s="7" t="inlineStr">
        <is>
          <t>Not Started</t>
        </is>
      </c>
      <c r="F29" s="7" t="inlineStr"/>
      <c r="G29" s="7" t="inlineStr"/>
      <c r="H29" s="7" t="inlineStr"/>
      <c r="I29" s="7" t="inlineStr">
        <is>
          <t>FR-01.5, FR-01.6, FR-09.2, FR-09.3</t>
        </is>
      </c>
      <c r="J29" s="7" t="inlineStr">
        <is>
          <t>Free and paid tiers by event scale; micro-payments; transaction history</t>
        </is>
      </c>
      <c r="K29" s="7" t="inlineStr">
        <is>
          <t>2026-09-19</t>
        </is>
      </c>
    </row>
    <row r="30">
      <c r="A30" s="7" t="inlineStr">
        <is>
          <t>Milestone 6: Privacy and compliance readiness</t>
        </is>
      </c>
      <c r="B30" s="7" t="inlineStr">
        <is>
          <t>M6.1</t>
        </is>
      </c>
      <c r="C30" s="7" t="inlineStr">
        <is>
          <t>Milestone 6 (not yet planned) — Privacy and compliance readiness</t>
        </is>
      </c>
      <c r="D30" s="7" t="inlineStr">
        <is>
          <t>cross-cutting</t>
        </is>
      </c>
      <c r="E30" s="7" t="inlineStr">
        <is>
          <t>Not Started</t>
        </is>
      </c>
      <c r="F30" s="7" t="inlineStr"/>
      <c r="G30" s="7" t="inlineStr"/>
      <c r="H30" s="7" t="inlineStr"/>
      <c r="I30" s="7" t="inlineStr">
        <is>
          <t>FR-SEC.1, FR-SEC.5-SEC.8, FR-SEC.10</t>
        </is>
      </c>
      <c r="J30" s="7" t="inlineStr">
        <is>
          <t>PII column encryption with a blind index, audit log, retention and deletion, child-event defaults, noindex headers</t>
        </is>
      </c>
      <c r="K30" s="7" t="inlineStr">
        <is>
          <t>2026-09-19</t>
        </is>
      </c>
    </row>
    <row r="31">
      <c r="A31" s="7" t="inlineStr">
        <is>
          <t>Milestone 7: Closed beta</t>
        </is>
      </c>
      <c r="B31" s="7" t="inlineStr">
        <is>
          <t>M7.1</t>
        </is>
      </c>
      <c r="C31" s="7" t="inlineStr">
        <is>
          <t>Milestone 7 (not yet planned) — Closed beta across wedding, graduation and birthday events</t>
        </is>
      </c>
      <c r="D31" s="7" t="inlineStr">
        <is>
          <t>operations</t>
        </is>
      </c>
      <c r="E31" s="7" t="inlineStr">
        <is>
          <t>Not Started</t>
        </is>
      </c>
      <c r="F31" s="7" t="inlineStr"/>
      <c r="G31" s="7" t="inlineStr"/>
      <c r="H31" s="7" t="inlineStr"/>
      <c r="I31" s="7" t="inlineStr"/>
      <c r="J31" s="7" t="inlineStr">
        <is>
          <t>Validate the hypothesis and fill the TBD success metrics in the PRD</t>
        </is>
      </c>
      <c r="K31" s="7" t="inlineStr">
        <is>
          <t>2026-09-19</t>
        </is>
      </c>
    </row>
    <row r="32">
      <c r="A32" s="7" t="inlineStr">
        <is>
          <t>Milestone 8: RBAC foundation (cross-cutting platform work)</t>
        </is>
      </c>
      <c r="B32" s="7" t="inlineStr">
        <is>
          <t>T9.1</t>
        </is>
      </c>
      <c r="C32" s="7" t="inlineStr">
        <is>
          <t>Task 9: RBAC foundation — RBAC schema (roles, menus, dropdowns, actions/permissions) and the services/rbac backend package; events:create gated on the already-shipped create-event route</t>
        </is>
      </c>
      <c r="D32" s="7" t="inlineStr">
        <is>
          <t>internal/db (0004, 0005), services/rbac, services/event, cmd/api</t>
        </is>
      </c>
      <c r="E32" s="7" t="inlineStr">
        <is>
          <t>Completed</t>
        </is>
      </c>
      <c r="F32" s="7" t="inlineStr">
        <is>
          <t>85ac425 e76992d 08d0812 68ae150</t>
        </is>
      </c>
      <c r="G32" s="7" t="inlineStr">
        <is>
          <t>cf5f3a8 b85cbb8 1bc1ec4 bb79173</t>
        </is>
      </c>
      <c r="H32" s="7" t="inlineStr">
        <is>
          <t>services/rbac 81.9%; services/event 91.3%; cmd/api 83.3%</t>
        </is>
      </c>
      <c r="I32" s="7" t="inlineStr"/>
      <c r="J32" s="7" t="inlineStr">
        <is>
          <t>migrations 0004_rbac_foundation.sql, 0005_hosts_role_and_preferences.sql; services/rbac (types/postgres/service/http) with GET /api/v1/auth/me and PATCH /api/v1/me/preferences; RequirePermission wired onto POST /api/v1/events (events:create); seed limited to 2 menus (events_new, settings) and 2 enforced permissions (events:create, profile:update), every existing host granted both so no current behavior changes</t>
        </is>
      </c>
      <c r="K32" s="7" t="inlineStr">
        <is>
          <t>2026-09-23</t>
        </is>
      </c>
    </row>
    <row r="33">
      <c r="A33" s="7" t="inlineStr">
        <is>
          <t>Milestone 8: RBAC foundation (cross-cutting platform work)</t>
        </is>
      </c>
      <c r="B33" s="7" t="inlineStr">
        <is>
          <t>T9.2</t>
        </is>
      </c>
      <c r="C33" s="7" t="inlineStr">
        <is>
          <t>Task 9: RBAC foundation — Frontend: rbac API client, best-effort profile fetch in the root layout, dynamic Nav, dark theme palette, and the new /settings page with real EN/ID switching</t>
        </is>
      </c>
      <c r="D33" s="7" t="inlineStr">
        <is>
          <t>apps/web</t>
        </is>
      </c>
      <c r="E33" s="7" t="inlineStr">
        <is>
          <t>Completed</t>
        </is>
      </c>
      <c r="F33" s="7" t="inlineStr">
        <is>
          <t>14bc5fe 6dea65a 4be3c95</t>
        </is>
      </c>
      <c r="G33" s="7" t="inlineStr">
        <is>
          <t>21fbdb5 e1cb469 23963e0 d98a473 694ba26 99c2c86</t>
        </is>
      </c>
      <c r="H33" s="7" t="inlineStr">
        <is>
          <t>184 tests pass; 97.16% statements / 89.65% branches / 97.6% functions / 99.75% lines; svelte-check 0 errors/0 warnings</t>
        </is>
      </c>
      <c r="I33" s="7" t="inlineStr"/>
      <c r="J33" s="7" t="inlineStr">
        <is>
          <t>src/lib/api/rbac.ts; src/lib/components/Nav.svelte; :root[data-theme='dark'] palette in tokens.css; +layout.ts best-effort getProfile() (swallows a 401 so /auth/login never breaks); +layout.svelte renders Nav and sets document.documentElement.dataset.theme; src/routes/settings/+page.svelte (role, theme toggle, language toggle, own local EN/ID string table); the three pre-existing host pages keep their hardcoded Indonesian text unchanged</t>
        </is>
      </c>
      <c r="K33" s="7" t="inlineStr">
        <is>
          <t>2026-09-23</t>
        </is>
      </c>
    </row>
    <row r="34">
      <c r="A34" s="7" t="inlineStr">
        <is>
          <t>Milestone 8: RBAC foundation (cross-cutting platform work)</t>
        </is>
      </c>
      <c r="B34" s="7" t="inlineStr">
        <is>
          <t>T9.3</t>
        </is>
      </c>
      <c r="C34" s="7" t="inlineStr">
        <is>
          <t>Task 9: RBAC foundation — Real-stack verification and docs/tracking sync for Task 8</t>
        </is>
      </c>
      <c r="D34" s="7" t="inlineStr">
        <is>
          <t>docs, docs/tracking, CLAUDE.md</t>
        </is>
      </c>
      <c r="E34" s="7" t="inlineStr">
        <is>
          <t>Completed</t>
        </is>
      </c>
      <c r="F34" s="7" t="inlineStr">
        <is>
          <t>n/a (documentation)</t>
        </is>
      </c>
      <c r="G34" s="7" t="inlineStr">
        <is>
          <t>n/a (docs/ is gitignored, not committed)</t>
        </is>
      </c>
      <c r="H34" s="7" t="inlineStr">
        <is>
          <t>n/a</t>
        </is>
      </c>
      <c r="I34" s="7" t="inlineStr"/>
      <c r="J34" s="7" t="inlineStr">
        <is>
          <t>scripts/check.sh run against Docker Redis+Mailpit and a local Postgres (proto-gen --check, gofmt/vet/lint, go test -cover, svelte-check, vitest coverage, real-stack Playwright e2e); FSD 3.5/5/6/8.6/10.1/11.1 updates; CLAUDE.md bullets for services/rbac and the two new frontend surfaces; this tracker</t>
        </is>
      </c>
      <c r="K34" s="7" t="inlineStr">
        <is>
          <t>2026-09-23</t>
        </is>
      </c>
    </row>
    <row r="35">
      <c r="A35" s="7" t="inlineStr">
        <is>
          <t>Backlog: Should-have and later phases</t>
        </is>
      </c>
      <c r="B35" s="7" t="inlineStr">
        <is>
          <t>BL.1</t>
        </is>
      </c>
      <c r="C35" s="7" t="inlineStr">
        <is>
          <t>Backlog: Notifications — Scheduled and transactional email/WhatsApp notifications</t>
        </is>
      </c>
      <c r="D35" s="7" t="inlineStr">
        <is>
          <t>services/notification</t>
        </is>
      </c>
      <c r="E35" s="7" t="inlineStr">
        <is>
          <t>Not Started</t>
        </is>
      </c>
      <c r="F35" s="7" t="inlineStr"/>
      <c r="G35" s="7" t="inlineStr"/>
      <c r="H35" s="7" t="inlineStr"/>
      <c r="I35" s="7" t="inlineStr">
        <is>
          <t>FR-08.1-08.2</t>
        </is>
      </c>
      <c r="J35" s="7" t="inlineStr">
        <is>
          <t>Event reminders, reveal notices, expiry warnings</t>
        </is>
      </c>
      <c r="K35" s="7" t="inlineStr">
        <is>
          <t>2026-09-19</t>
        </is>
      </c>
    </row>
    <row r="36">
      <c r="A36" s="7" t="inlineStr">
        <is>
          <t>Backlog: Should-have and later phases</t>
        </is>
      </c>
      <c r="B36" s="7" t="inlineStr">
        <is>
          <t>BL.2</t>
        </is>
      </c>
      <c r="C36" s="7" t="inlineStr">
        <is>
          <t>Backlog: Hall of Fame — Host-curated highlights visible to guests</t>
        </is>
      </c>
      <c r="D36" s="7" t="inlineStr">
        <is>
          <t>services/gallery</t>
        </is>
      </c>
      <c r="E36" s="7" t="inlineStr">
        <is>
          <t>Not Started</t>
        </is>
      </c>
      <c r="F36" s="7" t="inlineStr"/>
      <c r="G36" s="7" t="inlineStr"/>
      <c r="H36" s="7" t="inlineStr"/>
      <c r="I36" s="7" t="inlineStr">
        <is>
          <t>FR-11.1-11.5</t>
        </is>
      </c>
      <c r="J36" s="7" t="inlineStr">
        <is>
          <t>Curation, ordering and sharing of the best photos</t>
        </is>
      </c>
      <c r="K36" s="7" t="inlineStr">
        <is>
          <t>2026-09-19</t>
        </is>
      </c>
    </row>
    <row r="37">
      <c r="A37" s="7" t="inlineStr">
        <is>
          <t>Backlog: Should-have and later phases</t>
        </is>
      </c>
      <c r="B37" s="7" t="inlineStr">
        <is>
          <t>BL.3</t>
        </is>
      </c>
      <c r="C37" s="7" t="inlineStr">
        <is>
          <t>Backlog: Personal/Instant Mode (v1.1) — Capture without an event and send results to several recipients</t>
        </is>
      </c>
      <c r="D37" s="7" t="inlineStr">
        <is>
          <t>apps/web, services/media</t>
        </is>
      </c>
      <c r="E37" s="7" t="inlineStr">
        <is>
          <t>Not Started</t>
        </is>
      </c>
      <c r="F37" s="7" t="inlineStr"/>
      <c r="G37" s="7" t="inlineStr"/>
      <c r="H37" s="7" t="inlineStr"/>
      <c r="I37" s="7" t="inlineStr">
        <is>
          <t>FR-10.1-10.7</t>
        </is>
      </c>
      <c r="J37" s="7" t="inlineStr">
        <is>
          <t>Deferred until Event Mode is stable</t>
        </is>
      </c>
      <c r="K37" s="7" t="inlineStr">
        <is>
          <t>2026-09-19</t>
        </is>
      </c>
    </row>
  </sheetData>
  <autoFilter ref="A1:K37"/>
  <conditionalFormatting sqref="E2:E37">
    <cfRule type="expression" priority="1" dxfId="0">
      <formula>$E2="Not Started"</formula>
    </cfRule>
    <cfRule type="expression" priority="2" dxfId="1">
      <formula>$E2="In Progress"</formula>
    </cfRule>
    <cfRule type="expression" priority="3" dxfId="2">
      <formula>$E2="Pending Verification"</formula>
    </cfRule>
    <cfRule type="expression" priority="4" dxfId="3">
      <formula>$E2="Completed"</formula>
    </cfRule>
    <cfRule type="expression" priority="5" dxfId="1">
      <formula>$E2="Partial"</formula>
    </cfRule>
  </conditionalFormatting>
  <dataValidations count="1">
    <dataValidation sqref="E2:E37" showDropDown="0" showInputMessage="0" showErrorMessage="0" allowBlank="0" type="list">
      <formula1>"Not Started,In Progress,Pending Verification,Completed"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9" customWidth="1" min="3" max="3"/>
    <col width="60" customWidth="1" min="4" max="4"/>
    <col width="55" customWidth="1" min="5" max="5"/>
    <col width="70" customWidth="1" min="6" max="6"/>
    <col width="30" customWidth="1" min="7" max="7"/>
    <col width="12" customWidth="1" min="8" max="8"/>
  </cols>
  <sheetData>
    <row r="1">
      <c r="A1" s="6" t="inlineStr">
        <is>
          <t>Phase / Milestone</t>
        </is>
      </c>
      <c r="B1" s="6" t="inlineStr">
        <is>
          <t>Module / Service</t>
        </is>
      </c>
      <c r="C1" s="6" t="inlineStr">
        <is>
          <t>Task ID</t>
        </is>
      </c>
      <c r="D1" s="6" t="inlineStr">
        <is>
          <t>Summary of implemented functionality</t>
        </is>
      </c>
      <c r="E1" s="6" t="inlineStr">
        <is>
          <t>Breaking changes / structural refactors</t>
        </is>
      </c>
      <c r="F1" s="6" t="inlineStr">
        <is>
          <t>Deviations &amp; technical decisions</t>
        </is>
      </c>
      <c r="G1" s="6" t="inlineStr">
        <is>
          <t>Commits</t>
        </is>
      </c>
      <c r="H1" s="6" t="inlineStr">
        <is>
          <t>Date</t>
        </is>
      </c>
    </row>
    <row r="2">
      <c r="A2" s="7" t="inlineStr">
        <is>
          <t>Milestone 1: Host creates an event</t>
        </is>
      </c>
      <c r="B2" s="7" t="inlineStr">
        <is>
          <t>api/proto/v1, gen/go</t>
        </is>
      </c>
      <c r="C2" s="7" t="inlineStr">
        <is>
          <t>T3.3</t>
        </is>
      </c>
      <c r="D2" s="7" t="inlineStr">
        <is>
          <t>Added auth.proto and event.proto, buf configuration and scripts/proto-gen.sh with a --check drift mode.</t>
        </is>
      </c>
      <c r="E2" s="7" t="inlineStr">
        <is>
          <t>New build-time requirement: buf, protoc-gen-go and protoc-gen-go-grpc are needed to regenerate; check.sh now fails on stale generated code.</t>
        </is>
      </c>
      <c r="F2" s="7" t="inlineStr">
        <is>
          <t>Separate proto packages (sela.auth.v1, sela.event.v1) share one directory, so buf lint exceptions PACKAGE_DIRECTORY_MATCH and DIRECTORY_SAME_PACKAGE were added. event.proto is contract only. CreateEventRequest has no host_id: ownership comes from the session.</t>
        </is>
      </c>
      <c r="G2" s="7" t="inlineStr">
        <is>
          <t>409a125 24c7281</t>
        </is>
      </c>
      <c r="H2" s="7" t="inlineStr">
        <is>
          <t>2026-09-19</t>
        </is>
      </c>
    </row>
    <row r="3">
      <c r="A3" s="7" t="inlineStr">
        <is>
          <t>Milestone 1: Host creates an event</t>
        </is>
      </c>
      <c r="B3" s="7" t="inlineStr">
        <is>
          <t>apps/api (structure)</t>
        </is>
      </c>
      <c r="C3" s="7" t="inlineStr">
        <is>
          <t>T3.2</t>
        </is>
      </c>
      <c r="D3" s="7" t="inlineStr">
        <is>
          <t>Moved all Go backend code under apps/api and moved go.mod there with the module path unchanged.</t>
        </is>
      </c>
      <c r="E3" s="7" t="inlineStr">
        <is>
          <t>STRUCTURAL: cmd/, internal/ and go.mod moved to apps/api; the db package became internal/db (import path github.com/Briyantama/SELA/internal/db). Go commands must now run from apps/api; scripts/check.sh updated.</t>
        </is>
      </c>
      <c r="F3" s="7" t="inlineStr">
        <is>
          <t>Migrations live inside internal/db because Go embed cannot reference parent directories. Refactor verified by all existing tests passing unchanged.</t>
        </is>
      </c>
      <c r="G3" s="7" t="inlineStr">
        <is>
          <t>aebe62e</t>
        </is>
      </c>
      <c r="H3" s="7" t="inlineStr">
        <is>
          <t>2026-09-19</t>
        </is>
      </c>
    </row>
    <row r="4">
      <c r="A4" s="7" t="inlineStr">
        <is>
          <t>Milestone 1: Host creates an event</t>
        </is>
      </c>
      <c r="B4" s="7" t="inlineStr">
        <is>
          <t>apps/web</t>
        </is>
      </c>
      <c r="C4" s="7" t="inlineStr">
        <is>
          <t>T1.2</t>
        </is>
      </c>
      <c r="D4" s="7" t="inlineStr">
        <is>
          <t>Scaffolded SvelteKit with Vitest (80% threshold) and an envelope parser mirroring the Go envelope.</t>
        </is>
      </c>
      <c r="E4" s="7" t="inlineStr">
        <is>
          <t>None.</t>
        </is>
      </c>
      <c r="F4" s="7" t="inlineStr">
        <is>
          <t>npm instead of pnpm (pnpm not installed); Node &gt;= 20.19 required by Vite 8, so a newer Node is prepended to PATH per command. 3 low-severity npm audit findings (transitive cookie) left unfixed because the suggested fix is a breaking downgrade.</t>
        </is>
      </c>
      <c r="G4" s="7" t="inlineStr">
        <is>
          <t>5fa9976 4443ea5</t>
        </is>
      </c>
      <c r="H4" s="7" t="inlineStr">
        <is>
          <t>2026-09-19</t>
        </is>
      </c>
    </row>
    <row r="5">
      <c r="A5" s="7" t="inlineStr">
        <is>
          <t>Milestone 1: Host creates an event</t>
        </is>
      </c>
      <c r="B5" s="7" t="inlineStr">
        <is>
          <t>apps/web</t>
        </is>
      </c>
      <c r="C5" s="7" t="inlineStr">
        <is>
          <t>T6.1</t>
        </is>
      </c>
      <c r="D5" s="7" t="inlineStr">
        <is>
          <t>Built the host web flow: /auth/login (email OTP), /events/new (category picker, details, collapsed overrides), /events/[id] (short link, QR, downloads); API client with credentials, timeout, status and Retry-After; jsdom component tests; /api dev proxy.</t>
        </is>
      </c>
      <c r="E5" s="7" t="inlineStr">
        <is>
          <t>None for the API. The web app is now a client-side SPA (ssr off) and expects /api on its own origin (Vite proxy in dev; a reverse proxy is needed in deployment).</t>
        </is>
      </c>
      <c r="F5" s="7" t="inlineStr">
        <is>
          <t>Time zone is a read-only WIB label because POST /api/v1/events accepts none (user chose this over extending the backend). Signed-out hosts are detected by a 401 and sent to /auth/login?next=..., because there is no session-check endpoint; the typed form is lost on that bounce. Components are unit-tested with mocked API modules; the real sign-in path was not exercised end to end (no Redis/Mailpit). Review fixes: 15 s request timeout, hidden reveal delay reset, no duplicate create after a failed navigation, reload on route id change. A real-browser check found resolve.conditions: [] in vite.config.ts broke onMount in dev and build (fixed, regression test src/config.test.ts).</t>
        </is>
      </c>
      <c r="G5" s="7" t="inlineStr">
        <is>
          <t>64bb0d2 e22fc04 840a9e6 abfcf99 9718420 2185cb4 deb9be8 a625187 d205277 532c966 d1100f0 94f617f 1d11def 41bd0e7 7e82db3 1b66d55 63cce8a e89ee60</t>
        </is>
      </c>
      <c r="H5" s="7" t="inlineStr">
        <is>
          <t>2026-09-20</t>
        </is>
      </c>
    </row>
    <row r="6">
      <c r="A6" s="7" t="inlineStr">
        <is>
          <t>Milestone 1: Host creates an event</t>
        </is>
      </c>
      <c r="B6" s="7" t="inlineStr">
        <is>
          <t>apps/web (tests/e2e), scripts</t>
        </is>
      </c>
      <c r="C6" s="7" t="inlineStr">
        <is>
          <t>T7.1</t>
        </is>
      </c>
      <c r="D6" s="7" t="inlineStr">
        <is>
          <t>Added Playwright end-to-end tests that drive Chrome through the Vite proxy to the real API, Postgres, Redis and Mailpit (scripts/e2e.sh), and made scripts/check.sh run them; timed the scripted host flow against the 3-minute target.</t>
        </is>
      </c>
      <c r="E6" s="7" t="inlineStr">
        <is>
          <t>scripts/check.sh now needs Docker (Redis + Mailpit up), Chrome and TEST_DATABASE_URL; SKIP_E2E=1 skips the e2e step with a loud notice. Port 8080 is held by an unrelated Apache service on the dev machine, so e2e uses 8081/9091/5174.</t>
        </is>
      </c>
      <c r="F6" s="7" t="inlineStr">
        <is>
          <t>Installed Chrome instead of downloading Playwright browsers; e2e uses a throwaway sela_e2e_&lt;pid&gt; database on the local Postgres and resets only rl:/attempts:/lock: keys on the compose Redis; one unique email per test because of the OTP rate limits; the QR PNG is decoded with jsqr to prove it encodes the short link; scripted time is a lower bound and not the PRD metric. A typescript review found no CRITICAL/HIGH; the MEDIUMs (unguarded database-URL rewrite, unchecked Redis container, one-shot QR load check) were fixed in 7b11984. Also added .gitattributes so shell scripts keep LF.</t>
        </is>
      </c>
      <c r="G6" s="7" t="inlineStr">
        <is>
          <t>58b435f 56159ff 29d31b5 70c75d0 fcdfe29 44e0983 6037092 d34c798 96d0a2a 7b11984</t>
        </is>
      </c>
      <c r="H6" s="7" t="inlineStr">
        <is>
          <t>2026-09-20</t>
        </is>
      </c>
    </row>
    <row r="7">
      <c r="A7" s="7" t="inlineStr">
        <is>
          <t>Milestone 1: Host creates an event</t>
        </is>
      </c>
      <c r="B7" s="7" t="inlineStr">
        <is>
          <t>cmd/api</t>
        </is>
      </c>
      <c r="C7" s="7" t="inlineStr">
        <is>
          <t>T3.7</t>
        </is>
      </c>
      <c r="D7" s="7" t="inlineStr">
        <is>
          <t>Wired config, Postgres, Redis, SMTP and the auth service into one process serving HTTP and gRPC, with an end-to-end test.</t>
        </is>
      </c>
      <c r="E7" s="7" t="inlineStr">
        <is>
          <t>cmd/api's run() now takes (ctx, getenv); the server no longer starts without the required environment.</t>
        </is>
      </c>
      <c r="F7" s="7" t="inlineStr">
        <is>
          <t>Services stay packages in one process (deviation from separate deployables, recorded in FSD 2.6). go test -race unavailable locally (needs cgo/gcc); run it in CI.</t>
        </is>
      </c>
      <c r="G7" s="7" t="inlineStr">
        <is>
          <t>5a3dbe0 2bffd81 578bab2 218243d 573d78f</t>
        </is>
      </c>
      <c r="H7" s="7" t="inlineStr">
        <is>
          <t>2026-09-19</t>
        </is>
      </c>
    </row>
    <row r="8">
      <c r="A8" s="7" t="inlineStr">
        <is>
          <t>Milestone 1: Host creates an event</t>
        </is>
      </c>
      <c r="B8" s="7" t="inlineStr">
        <is>
          <t>cmd/migrate</t>
        </is>
      </c>
      <c r="C8" s="7" t="inlineStr">
        <is>
          <t>T3.1</t>
        </is>
      </c>
      <c r="D8" s="7" t="inlineStr">
        <is>
          <t>Added a CLI that applies (up) or reverts (down) migrations against DATABASE_URL.</t>
        </is>
      </c>
      <c r="E8" s="7" t="inlineStr">
        <is>
          <t>None.</t>
        </is>
      </c>
      <c r="F8" s="7" t="inlineStr">
        <is>
          <t>Default command is up; DSN is never printed; run() is injectable for tests.</t>
        </is>
      </c>
      <c r="G8" s="7" t="inlineStr">
        <is>
          <t>f5935c9 a1e047f b2ef0ef</t>
        </is>
      </c>
      <c r="H8" s="7" t="inlineStr">
        <is>
          <t>2026-09-19</t>
        </is>
      </c>
    </row>
    <row r="9">
      <c r="A9" s="7" t="inlineStr">
        <is>
          <t>Milestone 1: Host creates an event</t>
        </is>
      </c>
      <c r="B9" s="7" t="inlineStr">
        <is>
          <t>deploy, cmd/api</t>
        </is>
      </c>
      <c r="C9" s="7" t="inlineStr">
        <is>
          <t>T3.8</t>
        </is>
      </c>
      <c r="D9" s="7" t="inlineStr">
        <is>
          <t>Verified the email OTP flow live against docker compose Redis and Mailpit with the real API; all checks passed without service changes.</t>
        </is>
      </c>
      <c r="E9" s="7" t="inlineStr">
        <is>
          <t>None.</t>
        </is>
      </c>
      <c r="F9" s="7" t="inlineStr">
        <is>
          <t>Verification lives in apps/web/tests/e2e/auth-live.spec.ts so it is repeatable; compose's postgres was not used because a local PostgreSQL 17 owns 5432.</t>
        </is>
      </c>
      <c r="G9" s="7" t="inlineStr">
        <is>
          <t>n/a (verification; tests in 44e0983)</t>
        </is>
      </c>
      <c r="H9" s="7" t="inlineStr">
        <is>
          <t>2026-09-20</t>
        </is>
      </c>
    </row>
    <row r="10">
      <c r="A10" s="7" t="inlineStr">
        <is>
          <t>Milestone 1: Host creates an event</t>
        </is>
      </c>
      <c r="B10" s="7" t="inlineStr">
        <is>
          <t>deploy, scripts/check.sh</t>
        </is>
      </c>
      <c r="C10" s="7" t="inlineStr">
        <is>
          <t>T1.3</t>
        </is>
      </c>
      <c r="D10" s="7" t="inlineStr">
        <is>
          <t>Added Docker Compose services (Postgres, Redis, Mailpit) bound to localhost with required credentials, .env.example and scripts/check.sh.</t>
        </is>
      </c>
      <c r="E10" s="7" t="inlineStr">
        <is>
          <t>None.</t>
        </is>
      </c>
      <c r="F10" s="7" t="inlineStr">
        <is>
          <t>Compose refuses to start without credentials; check.sh became the single validation entrypoint.</t>
        </is>
      </c>
      <c r="G10" s="7" t="inlineStr">
        <is>
          <t>20ade0e cbeb530</t>
        </is>
      </c>
      <c r="H10" s="7" t="inlineStr">
        <is>
          <t>2026-09-19</t>
        </is>
      </c>
    </row>
    <row r="11">
      <c r="A11" s="7" t="inlineStr">
        <is>
          <t>Milestone 1: Host creates an event</t>
        </is>
      </c>
      <c r="B11" s="7" t="inlineStr">
        <is>
          <t>docs</t>
        </is>
      </c>
      <c r="C11" s="7" t="inlineStr">
        <is>
          <t>T3.9</t>
        </is>
      </c>
      <c r="D11" s="7" t="inlineStr">
        <is>
          <t>Updated the FSD to v2.5 and created this tracker with its build script and process.</t>
        </is>
      </c>
      <c r="E11" s="7" t="inlineStr">
        <is>
          <t>None.</t>
        </is>
      </c>
      <c r="F11" s="7" t="inlineStr">
        <is>
          <t>PRD and BRD intentionally unchanged: implementation so far does not change product scope, and their documented inconsistencies (MVP category count, free-tier watermark, BR-17 numbering) stay open. docs/ is gitignored, so these updates are not in commits.</t>
        </is>
      </c>
      <c r="G11" s="7" t="inlineStr">
        <is>
          <t>n/a</t>
        </is>
      </c>
      <c r="H11" s="7" t="inlineStr">
        <is>
          <t>2026-09-19</t>
        </is>
      </c>
    </row>
    <row r="12">
      <c r="A12" s="7" t="inlineStr">
        <is>
          <t>Milestone 1: Host creates an event</t>
        </is>
      </c>
      <c r="B12" s="7" t="inlineStr">
        <is>
          <t>docs</t>
        </is>
      </c>
      <c r="C12" s="7" t="inlineStr">
        <is>
          <t>T4.4</t>
        </is>
      </c>
      <c r="D12" s="7" t="inlineStr">
        <is>
          <t>Updated the FSD to v2.6 and this tracker for Task 4.</t>
        </is>
      </c>
      <c r="E12" s="7" t="inlineStr">
        <is>
          <t>None.</t>
        </is>
      </c>
      <c r="F12" s="7" t="inlineStr">
        <is>
          <t>PRD and BRD still unchanged; the fallback defaults are recorded in FSD 4.1 as derived from BRD 7/10 for product review.</t>
        </is>
      </c>
      <c r="G12" s="7" t="inlineStr">
        <is>
          <t>n/a</t>
        </is>
      </c>
      <c r="H12" s="7" t="inlineStr">
        <is>
          <t>2026-09-20</t>
        </is>
      </c>
    </row>
    <row r="13">
      <c r="A13" s="7" t="inlineStr">
        <is>
          <t>Milestone 1: Host creates an event</t>
        </is>
      </c>
      <c r="B13" s="7" t="inlineStr">
        <is>
          <t>docs</t>
        </is>
      </c>
      <c r="C13" s="7" t="inlineStr">
        <is>
          <t>T6.2</t>
        </is>
      </c>
      <c r="D13" s="7" t="inlineStr">
        <is>
          <t>Updated the FSD to v2.8 (10.1 implementation note, change row, 11.1 status for FR-01.1, FR-01.2, FR-01.3, FR-09.1), CLAUDE.md and this tracker for Task 6.</t>
        </is>
      </c>
      <c r="E13" s="7" t="inlineStr">
        <is>
          <t>None.</t>
        </is>
      </c>
      <c r="F13" s="7" t="inlineStr">
        <is>
          <t>FR-01.1 to FR-01.3 are now Completed; FR-09.1 stays Partial (SMS not built, live Redis/SMTP verification pending). Category default numbers remain tbd for product. docs/ is gitignored, so these edits are not versioned.</t>
        </is>
      </c>
      <c r="G13" s="7" t="inlineStr">
        <is>
          <t>n/a</t>
        </is>
      </c>
      <c r="H13" s="7" t="inlineStr">
        <is>
          <t>2026-09-20</t>
        </is>
      </c>
    </row>
    <row r="14">
      <c r="A14" s="7" t="inlineStr">
        <is>
          <t>Milestone 1: Host creates an event</t>
        </is>
      </c>
      <c r="B14" s="7" t="inlineStr">
        <is>
          <t>docs</t>
        </is>
      </c>
      <c r="C14" s="7" t="inlineStr">
        <is>
          <t>T7.3</t>
        </is>
      </c>
      <c r="D14" s="7" t="inlineStr">
        <is>
          <t>Updated the FSD to v2.9, CLAUDE.md, the tracking README (timed-check protocol) and this tracker for Task 7.</t>
        </is>
      </c>
      <c r="E14" s="7" t="inlineStr">
        <is>
          <t>None.</t>
        </is>
      </c>
      <c r="F14" s="7" t="inlineStr">
        <is>
          <t>Milestone 1 is complete except T7.2 (human timed sessions), which stays Pending Verification. FR-09.1 stays Partial because SMS OTP is not built. docs/ tracker files are versioned; FSD/PRD/BRD .md and .pdf are still ignored.</t>
        </is>
      </c>
      <c r="G14" s="7" t="inlineStr">
        <is>
          <t>n/a</t>
        </is>
      </c>
      <c r="H14" s="7" t="inlineStr">
        <is>
          <t>2026-09-20</t>
        </is>
      </c>
    </row>
    <row r="15">
      <c r="A15" s="7" t="inlineStr">
        <is>
          <t>Milestone 1: Host creates an event</t>
        </is>
      </c>
      <c r="B15" s="7" t="inlineStr">
        <is>
          <t>internal/config</t>
        </is>
      </c>
      <c r="C15" s="7" t="inlineStr">
        <is>
          <t>T3.4</t>
        </is>
      </c>
      <c r="D15" s="7" t="inlineStr">
        <is>
          <t>Added fail-fast environment loading with aggregated errors and redacted printing.</t>
        </is>
      </c>
      <c r="E15" s="7" t="inlineStr">
        <is>
          <t>The API now refuses to start without DATABASE_URL, REDIS_ADDR, SMTP_ADDR, SMTP_FROM and OTP_HMAC_KEY (&gt;= 32 characters).</t>
        </is>
      </c>
      <c r="F15" s="7" t="inlineStr">
        <is>
          <t>Secrets never appear in errors or String(); COOKIE_SECURE defaults to true.</t>
        </is>
      </c>
      <c r="G15" s="7" t="inlineStr">
        <is>
          <t>730db37 3b1ab82</t>
        </is>
      </c>
      <c r="H15" s="7" t="inlineStr">
        <is>
          <t>2026-09-19</t>
        </is>
      </c>
    </row>
    <row r="16">
      <c r="A16" s="7" t="inlineStr">
        <is>
          <t>Milestone 1: Host creates an event</t>
        </is>
      </c>
      <c r="B16" s="7" t="inlineStr">
        <is>
          <t>internal/db</t>
        </is>
      </c>
      <c r="C16" s="7" t="inlineStr">
        <is>
          <t>T2.1</t>
        </is>
      </c>
      <c r="D16" s="7" t="inlineStr">
        <is>
          <t>Added the goose migration runner and migrations 0001-0003: hosts, event_categories (six seeded presets) and events.</t>
        </is>
      </c>
      <c r="E16" s="7" t="inlineStr">
        <is>
          <t>New database schema (three migrations). Column names are English forms of FSD 5 (batas_jepretan -&gt; shot_limit, etc.).</t>
        </is>
      </c>
      <c r="F16" s="7" t="inlineStr">
        <is>
          <t>Undefined category defaults are stored as 'tbd', never invented. goose pinned to v3.26.0 because v3.28 requires Go 1.26 and silently raised the module's Go version. Cover image and branding columns deferred. Categories are presets, not gates. PII encryption deferred (needs a blind index for the unique lookups).</t>
        </is>
      </c>
      <c r="G16" s="7" t="inlineStr">
        <is>
          <t>9fe108b 45b058c b0b5b25</t>
        </is>
      </c>
      <c r="H16" s="7" t="inlineStr">
        <is>
          <t>2026-09-19</t>
        </is>
      </c>
    </row>
    <row r="17">
      <c r="A17" s="7" t="inlineStr">
        <is>
          <t>Milestone 1: Host creates an event</t>
        </is>
      </c>
      <c r="B17" s="7" t="inlineStr">
        <is>
          <t>internal/httpx, internal/config, api/proto/v1, services/auth</t>
        </is>
      </c>
      <c r="C17" s="7" t="inlineStr">
        <is>
          <t>T4.3</t>
        </is>
      </c>
      <c r="D17" s="7" t="inlineStr">
        <is>
          <t>Extracted the strict JSON body decoder into httpx, added the required SHORT_LINK_BASE_URL setting, extended event.proto, and added a deny-by-default gRPC host interceptor.</t>
        </is>
      </c>
      <c r="E17" s="7" t="inlineStr">
        <is>
          <t>SHORT_LINK_BASE_URL is now required at startup (the API refuses to start without it). event.proto changes are additive (new field numbers).</t>
        </is>
      </c>
      <c r="F17" s="7" t="inlineStr">
        <is>
          <t>The auth handlers were refactored onto httpx.DecodeJSON with the existing tests as the safety net. The interceptor reuses the auth package's HostID and error mapping instead of duplicating them.</t>
        </is>
      </c>
      <c r="G17" s="7" t="inlineStr">
        <is>
          <t>0a61dd6 3861ee6 1c9b2a8 1110a02 6f8cf8e ff5ae81 b1a51e3 da51888</t>
        </is>
      </c>
      <c r="H17" s="7" t="inlineStr">
        <is>
          <t>2026-09-20</t>
        </is>
      </c>
    </row>
    <row r="18">
      <c r="A18" s="7" t="inlineStr">
        <is>
          <t>Milestone 1: Host creates an event</t>
        </is>
      </c>
      <c r="B18" s="7" t="inlineStr">
        <is>
          <t>internal/httpx, internal/health, cmd/api</t>
        </is>
      </c>
      <c r="C18" s="7" t="inlineStr">
        <is>
          <t>T1.1</t>
        </is>
      </c>
      <c r="D18" s="7" t="inlineStr">
        <is>
          <t>Added the shared JSON envelope {success, data, error}, a GET /healthz handler and an HTTP entrypoint with graceful shutdown.</t>
        </is>
      </c>
      <c r="E18" s="7" t="inlineStr">
        <is>
          <t>None.</t>
        </is>
      </c>
      <c r="F18" s="7" t="inlineStr">
        <is>
          <t>Envelope follows the project API-response rule; health checks no dependencies (liveness only).</t>
        </is>
      </c>
      <c r="G18" s="7" t="inlineStr">
        <is>
          <t>aae2ee6 bbc37ea 0bd97a3</t>
        </is>
      </c>
      <c r="H18" s="7" t="inlineStr">
        <is>
          <t>2026-09-19</t>
        </is>
      </c>
    </row>
    <row r="19">
      <c r="A19" s="7" t="inlineStr">
        <is>
          <t>Milestone 1: Host creates an event</t>
        </is>
      </c>
      <c r="B19" s="7" t="inlineStr">
        <is>
          <t>services/auth</t>
        </is>
      </c>
      <c r="C19" s="7" t="inlineStr">
        <is>
          <t>T3.5</t>
        </is>
      </c>
      <c r="D19" s="7" t="inlineStr">
        <is>
          <t>Implemented the OTP sign-in core: hashed single-use 5-minute codes, rate limits, lockout, hashed 12-hour sessions, Postgres find-or-create host and an SMTP mailer.</t>
        </is>
      </c>
      <c r="E19" s="7" t="inlineStr">
        <is>
          <t>Adds runtime dependencies on Redis and an SMTP relay.</t>
        </is>
      </c>
      <c r="F19" s="7" t="inlineStr">
        <is>
          <t>Code consumed before host creation so concurrent verifies cannot mis-report IsNewHost; attempts counted only while a code is outstanding to prevent lockout of addresses that never requested a code; Redis keys use keyed hashes (no raw email or IP); opaque server-side sessions instead of JWT; refresh token and logout deferred (partial FR-SEC.4).</t>
        </is>
      </c>
      <c r="G19" s="7" t="inlineStr">
        <is>
          <t>1043ded 3c45e13</t>
        </is>
      </c>
      <c r="H19" s="7" t="inlineStr">
        <is>
          <t>2026-09-19</t>
        </is>
      </c>
    </row>
    <row r="20">
      <c r="A20" s="7" t="inlineStr">
        <is>
          <t>Milestone 1: Host creates an event</t>
        </is>
      </c>
      <c r="B20" s="7" t="inlineStr">
        <is>
          <t>services/auth</t>
        </is>
      </c>
      <c r="C20" s="7" t="inlineStr">
        <is>
          <t>T3.6</t>
        </is>
      </c>
      <c r="D20" s="7" t="inlineStr">
        <is>
          <t>Added REST and gRPC adapters over one Flow interface, plus RequireHost middleware.</t>
        </is>
      </c>
      <c r="E20" s="7" t="inlineStr">
        <is>
          <t>None.</t>
        </is>
      </c>
      <c r="F20" s="7" t="inlineStr">
        <is>
          <t>HTTP handlers live in services/auth (not internal/httpx), reusing the httpx envelope. Session token only in the HttpOnly cookie (HTTP) or the response (gRPC). X-Forwarded-For deliberately ignored. Fixed generic messages for internal errors.</t>
        </is>
      </c>
      <c r="G20" s="7" t="inlineStr">
        <is>
          <t>ffed71f ce4729e</t>
        </is>
      </c>
      <c r="H20" s="7" t="inlineStr">
        <is>
          <t>2026-09-19</t>
        </is>
      </c>
    </row>
    <row r="21">
      <c r="A21" s="7" t="inlineStr">
        <is>
          <t>Milestone 1: Host creates an event</t>
        </is>
      </c>
      <c r="B21" s="7" t="inlineStr">
        <is>
          <t>services/event</t>
        </is>
      </c>
      <c r="C21" s="7" t="inlineStr">
        <is>
          <t>T4.1</t>
        </is>
      </c>
      <c r="D21" s="7" t="inlineStr">
        <is>
          <t>Added the event domain: category presets with raw and effective defaults, event creation with unique short codes and private access tokens, PNG/SVG QR codes of the short link, and host-scoped retrieval.</t>
        </is>
      </c>
      <c r="E21" s="7" t="inlineStr">
        <is>
          <t>None to existing endpoints; new tables are read and written (events, event_categories) with no schema change.</t>
        </is>
      </c>
      <c r="F21" s="7" t="inlineStr">
        <is>
          <t>FSD does not define what a tbd default falls back to, so the fallback is unlimited shots and instant reveal, derived from BRD 7/10 and FSD 4.5. Host override beats a defined category default beats the fallback. Wedding reveal_at = start of the event day (Asia/Jakarta) + 24h, an interpretation of 'delayed 1 day' that needs product confirmation. shot_limit 0 means explicitly unlimited. reveal_delay_hours capped at 8760 (safety limit, not in the docs). Not-owner and not-found are both ErrNotFound so existence is not leaked. Timezone data is embedded (time/tzdata). Short-link resolver deliberately deferred.</t>
        </is>
      </c>
      <c r="G21" s="7" t="inlineStr">
        <is>
          <t>acbece7 b726530</t>
        </is>
      </c>
      <c r="H21" s="7" t="inlineStr">
        <is>
          <t>2026-09-20</t>
        </is>
      </c>
    </row>
    <row r="22">
      <c r="A22" s="7" t="inlineStr">
        <is>
          <t>Milestone 1: Host creates an event</t>
        </is>
      </c>
      <c r="B22" s="7" t="inlineStr">
        <is>
          <t>services/event</t>
        </is>
      </c>
      <c r="C22" s="7" t="inlineStr">
        <is>
          <t>T5.1</t>
        </is>
      </c>
      <c r="D22" s="7" t="inlineStr">
        <is>
          <t>Added the public short-link resolver GET /e/{short_code} returning guest-safe event metadata; short links and QR codes now encode {SHORT_LINK_BASE_URL}/e/{code}.</t>
        </is>
      </c>
      <c r="E22" s="7" t="inlineStr">
        <is>
          <t>Short links/QR codes created before this change lack /e/ (dev/test data only).</t>
        </is>
      </c>
      <c r="F22" s="7" t="inlineStr">
        <is>
          <t>Invalid, unknown, non-active and expired codes all return one identical 404; 200 JSON rather than a redirect (no guest PWA yet); no rate limiting yet (follow-up); no proto change.</t>
        </is>
      </c>
      <c r="G22" s="7" t="inlineStr">
        <is>
          <t>1c6b579 4a9208e 1c6fa33 97bdbe1 e8c01ae 0e537e9 bebb849</t>
        </is>
      </c>
      <c r="H22" s="7" t="inlineStr">
        <is>
          <t>2026-09-20</t>
        </is>
      </c>
    </row>
    <row r="23">
      <c r="A23" s="7" t="inlineStr">
        <is>
          <t>Milestone 1: Host creates an event</t>
        </is>
      </c>
      <c r="B23" s="7" t="inlineStr">
        <is>
          <t>services/event, cmd/api</t>
        </is>
      </c>
      <c r="C23" s="7" t="inlineStr">
        <is>
          <t>T4.2</t>
        </is>
      </c>
      <c r="D23" s="7" t="inlineStr">
        <is>
          <t>Exposed the event use cases over REST and gRPC and wired them into the API process.</t>
        </is>
      </c>
      <c r="E23" s="7" t="inlineStr">
        <is>
          <t>cmd/api's newMux and newGRPCServer now take the event dependencies; the gRPC server always installs the host interceptor, so every method outside the public allowlist requires a Bearer session.</t>
        </is>
      </c>
      <c r="F23" s="7" t="inlineStr">
        <is>
          <t>Category listing is public (presets, not host data); everything else needs a session. The RPC keeps the name ListEventCategories (existing contract) instead of ListCategories. Responses are built from types that have no host_id or access_token field, and request bodies containing host_id are rejected. HTTP handlers live in services/event and reuse the httpx envelope. golangci-lint timeout raised to 5 minutes in check.sh.</t>
        </is>
      </c>
      <c r="G23" s="7" t="inlineStr">
        <is>
          <t>6c65e04 094e6bb aeb1251 cb7f51b 51a1ef0</t>
        </is>
      </c>
      <c r="H23" s="7" t="inlineStr">
        <is>
          <t>2026-09-20</t>
        </is>
      </c>
    </row>
    <row r="24">
      <c r="A24" s="7" t="inlineStr">
        <is>
          <t>Milestone 8: RBAC foundation (cross-cutting platform work)</t>
        </is>
      </c>
      <c r="B24" s="7" t="inlineStr">
        <is>
          <t>apps/web</t>
        </is>
      </c>
      <c r="C24" s="7" t="inlineStr">
        <is>
          <t>T9.2</t>
        </is>
      </c>
      <c r="D24" s="7" t="inlineStr">
        <is>
          <t>Added the rbac API client, a best-effort profile fetch in the root layout, a dynamic Nav component, a real dark theme palette, and a new /settings page with real EN/ID language and theme switching.</t>
        </is>
      </c>
      <c r="E24" s="7" t="inlineStr">
        <is>
          <t>The root layout's load() now returns a required profile field, which is merged into every page's PageData type (existing dashboard tests updated to pass profile: null).</t>
        </is>
      </c>
      <c r="F24" s="7" t="inlineStr">
        <is>
          <t>Only the nav and the new settings page get real i18n; the three existing host pages keep hardcoded Indonesian text (a larger, separate retrofit). A failed/401 profile fetch resolves to profile: null rather than throwing, so /auth/login never breaks. PATCH only sets concrete theme/language values, not 'clear back to inherited' (fast-follow).</t>
        </is>
      </c>
      <c r="G24" s="7" t="inlineStr">
        <is>
          <t>14bc5fe e1cb469 6dea65a 23963e0 d98a473 694ba26 4be3c95 99c2c86 21fbdb5</t>
        </is>
      </c>
      <c r="H24" s="7" t="inlineStr">
        <is>
          <t>2026-09-23</t>
        </is>
      </c>
    </row>
    <row r="25">
      <c r="A25" s="7" t="inlineStr">
        <is>
          <t>Milestone 8: RBAC foundation (cross-cutting platform work)</t>
        </is>
      </c>
      <c r="B25" s="7" t="inlineStr">
        <is>
          <t>docs, docs/tracking</t>
        </is>
      </c>
      <c r="C25" s="7" t="inlineStr">
        <is>
          <t>T9.3</t>
        </is>
      </c>
      <c r="D25" s="7" t="inlineStr">
        <is>
          <t>Verified the RBAC foundation against the real stack (Docker Redis+Mailpit, local Postgres, scripts/check.sh) and synced the FSD, CLAUDE.md and this tracker for Task 9.</t>
        </is>
      </c>
      <c r="E25" s="7" t="inlineStr">
        <is>
          <t>None.</t>
        </is>
      </c>
      <c r="F25" s="7" t="inlineStr">
        <is>
          <t>RBAC isn't tied to a numbered FR yet; no ID was invented (see FSD 11.1). Menu nesting and the dropdown tables are built and tested but unseeded, since no second real menu destination or dropdown consumer exists yet. Numbered this Task 9, not Task 8: the FSD (gitignored, not tracked here before now) already used 'Task 8' for a planned Milestone 2 migration (guest_sessions/media, FSD change-note v2.9→v2.10) that has no corresponding code or tracker entry yet — a pre-existing drift between the FSD and this tracker, left as discovered rather than silently reconciled. docs/ is gitignored, so these edits are not versioned in git.</t>
        </is>
      </c>
      <c r="G25" s="7" t="inlineStr">
        <is>
          <t>n/a</t>
        </is>
      </c>
      <c r="H25" s="7" t="inlineStr">
        <is>
          <t>2026-09-23</t>
        </is>
      </c>
    </row>
    <row r="26">
      <c r="A26" s="7" t="inlineStr">
        <is>
          <t>Milestone 8: RBAC foundation (cross-cutting platform work)</t>
        </is>
      </c>
      <c r="B26" s="7" t="inlineStr">
        <is>
          <t>internal/db, services/rbac, services/event, cmd/api</t>
        </is>
      </c>
      <c r="C26" s="7" t="inlineStr">
        <is>
          <t>T9.1</t>
        </is>
      </c>
      <c r="D26" s="7" t="inlineStr">
        <is>
          <t>Implemented the RBAC foundation for real: migrations for roles/menus/dropdowns/actions/permissions, a services/rbac package (Postgres repository, Service resolving per-role menus/actions/dropdowns/preferences with a host-then-role-then-global fallback chain), GET /api/v1/auth/me and PATCH /api/v1/me/preferences, and events:create enforcement on the already-shipped POST /api/v1/events.</t>
        </is>
      </c>
      <c r="E26" s="7" t="inlineStr">
        <is>
          <t>POST /api/v1/events now requires the events:create permission in addition to a host session; every existing host is granted it by default in the seed, so behavior is unchanged unless a permission is explicitly revoked.</t>
        </is>
      </c>
      <c r="F26" s="7" t="inlineStr">
        <is>
          <t>Fallback-chain and ancestor-inclusion logic lives in Go (table-driven tested), not PL/pgSQL, matching this codebase's zero-stored-procedure convention; the one exception is a menu cycle-prevention trigger, a genuine data-integrity invariant a CHECK can't express. Seed data stays minimal and real: 2 flat menus (events_new, settings), 2 enforced permissions (events:create, profile:update); dropdowns and nested menus are schema-complete and tested but unseeded, since no real consumer exists yet. REST only, no gRPC, for /auth/me (fast-follow, mirrors Task 5's precedent). No permission-check caching (single API instance).</t>
        </is>
      </c>
      <c r="G26" s="7" t="inlineStr">
        <is>
          <t>85ac425 cf5f3a8 e76992d b85cbb8 08d0812 1bc1ec4 68ae150 bb79173</t>
        </is>
      </c>
      <c r="H26" s="7" t="inlineStr">
        <is>
          <t>2026-09-23</t>
        </is>
      </c>
    </row>
  </sheetData>
  <autoFilter ref="A1:H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80" customWidth="1" min="2" max="2"/>
    <col width="11" customWidth="1" min="3" max="3"/>
    <col width="34" customWidth="1" min="4" max="4"/>
    <col width="14" customWidth="1" min="5" max="5"/>
    <col width="26" customWidth="1" min="6" max="6"/>
    <col width="60" customWidth="1" min="7" max="7"/>
  </cols>
  <sheetData>
    <row r="1">
      <c r="A1" s="6" t="inlineStr">
        <is>
          <t>FR ID</t>
        </is>
      </c>
      <c r="B1" s="6" t="inlineStr">
        <is>
          <t>Requirement (from FSD)</t>
        </is>
      </c>
      <c r="C1" s="6" t="inlineStr">
        <is>
          <t>FSD section</t>
        </is>
      </c>
      <c r="D1" s="6" t="inlineStr">
        <is>
          <t>Milestone</t>
        </is>
      </c>
      <c r="E1" s="6" t="inlineStr">
        <is>
          <t>Status</t>
        </is>
      </c>
      <c r="F1" s="6" t="inlineStr">
        <is>
          <t>Tracker task(s)</t>
        </is>
      </c>
      <c r="G1" s="6" t="inlineStr">
        <is>
          <t>Evidence</t>
        </is>
      </c>
    </row>
    <row r="2">
      <c r="A2" s="7" t="inlineStr">
        <is>
          <t>FR-01.1</t>
        </is>
      </c>
      <c r="B2" s="7" t="inlineStr">
        <is>
          <t>Sistem menyediakan daftar kategori acara dengan template tema &amp; pengaturan default masing-masing.</t>
        </is>
      </c>
      <c r="C2" s="7" t="inlineStr">
        <is>
          <t>4.1</t>
        </is>
      </c>
      <c r="D2" s="7" t="inlineStr">
        <is>
          <t>Milestone 1: Host creates an event</t>
        </is>
      </c>
      <c r="E2" s="7" t="inlineStr">
        <is>
          <t>Completed</t>
        </is>
      </c>
      <c r="F2" s="7" t="inlineStr">
        <is>
          <t>T2.1, T4.1, T4.2, T6.1</t>
        </is>
      </c>
      <c r="G2" s="7" t="inlineStr">
        <is>
          <t>category presets with effective defaults over REST and gRPC; host category picker at /events/new shows each preset's defaults (category default numbers are still tbd, awaiting product)</t>
        </is>
      </c>
    </row>
    <row r="3">
      <c r="A3" s="7" t="inlineStr">
        <is>
          <t>FR-01.2</t>
        </is>
      </c>
      <c r="B3" s="7" t="inlineStr">
        <is>
          <t>Sistem menyediakan formulir pembuatan event minimal (nama, tanggal) dengan field lain opsional.</t>
        </is>
      </c>
      <c r="C3" s="7" t="inlineStr">
        <is>
          <t>4.1</t>
        </is>
      </c>
      <c r="D3" s="7" t="inlineStr">
        <is>
          <t>Milestone 1: Host creates an event</t>
        </is>
      </c>
      <c r="E3" s="7" t="inlineStr">
        <is>
          <t>Completed</t>
        </is>
      </c>
      <c r="F3" s="7" t="inlineStr">
        <is>
          <t>T2.1, T4.1, T4.2, T6.1</t>
        </is>
      </c>
      <c r="G3" s="7" t="inlineStr">
        <is>
          <t>create-event API with validation; host form at /events/new with name and date required and overrides collapsed; time zone shown read-only as WIB because the API takes none</t>
        </is>
      </c>
    </row>
    <row r="4">
      <c r="A4" s="7" t="inlineStr">
        <is>
          <t>FR-01.3</t>
        </is>
      </c>
      <c r="B4" s="7" t="inlineStr">
        <is>
          <t>Sistem menghasilkan QR code unik dan tautan pendek (short link) per event.</t>
        </is>
      </c>
      <c r="C4" s="7" t="inlineStr">
        <is>
          <t>4.1</t>
        </is>
      </c>
      <c r="D4" s="7" t="inlineStr">
        <is>
          <t>Milestone 1: Host creates an event</t>
        </is>
      </c>
      <c r="E4" s="7" t="inlineStr">
        <is>
          <t>Completed</t>
        </is>
      </c>
      <c r="F4" s="7" t="inlineStr">
        <is>
          <t>T2.1, T4.1, T4.2, T5.1, T6.1</t>
        </is>
      </c>
      <c r="G4" s="7" t="inlineStr">
        <is>
          <t>unique short_code, short_link = base/e/code, owner-only QR PNG/SVG, public GET /e/{short_code} resolver (guest-safe metadata, identical 404s); host result screen /events/[id] with copy link and PNG/SVG download</t>
        </is>
      </c>
    </row>
    <row r="5">
      <c r="A5" s="7" t="inlineStr">
        <is>
          <t>FR-01.4</t>
        </is>
      </c>
      <c r="B5" s="7" t="inlineStr">
        <is>
          <t>Sistem menyimpan konfigurasi jumlah jepretan maksimum (termasuk opsi tak terbatas) dan mode reveal per event.</t>
        </is>
      </c>
      <c r="C5" s="7" t="inlineStr">
        <is>
          <t>4.1</t>
        </is>
      </c>
      <c r="D5" s="7" t="inlineStr">
        <is>
          <t>Milestone 1: Host creates an event</t>
        </is>
      </c>
      <c r="E5" s="7" t="inlineStr">
        <is>
          <t>Completed</t>
        </is>
      </c>
      <c r="F5" s="7" t="inlineStr">
        <is>
          <t>T2.1, T4.1, T4.2</t>
        </is>
      </c>
      <c r="G5" s="7" t="inlineStr">
        <is>
          <t>shot_limit (NULL/0 = unlimited), reveal_mode and reveal_at stored per event; per-category numeric defaults remain tbd pending product</t>
        </is>
      </c>
    </row>
    <row r="6">
      <c r="A6" s="7" t="inlineStr">
        <is>
          <t>FR-01.5</t>
        </is>
      </c>
      <c r="B6" s="7" t="inlineStr">
        <is>
          <t>Sistem merekomendasikan paket berdasarkan kategori &amp; estimasi skala acara, namun tetap dapat diubah bebas oleh host.</t>
        </is>
      </c>
      <c r="C6" s="7" t="inlineStr">
        <is>
          <t>4.1</t>
        </is>
      </c>
      <c r="D6" s="7" t="inlineStr">
        <is>
          <t>Milestone 5: Plans and payment</t>
        </is>
      </c>
      <c r="E6" s="7" t="inlineStr">
        <is>
          <t>Not Started</t>
        </is>
      </c>
      <c r="F6" s="7" t="inlineStr">
        <is>
          <t>M5.1</t>
        </is>
      </c>
      <c r="G6" s="7" t="inlineStr"/>
    </row>
    <row r="7">
      <c r="A7" s="7" t="inlineStr">
        <is>
          <t>FR-01.6</t>
        </is>
      </c>
      <c r="B7" s="7" t="inlineStr">
        <is>
          <t>Sistem mengintegrasikan payment gateway untuk paket berbayar, termasuk nominal mikro (QRIS, e-wallet, kartu).</t>
        </is>
      </c>
      <c r="C7" s="7" t="inlineStr">
        <is>
          <t>4.1</t>
        </is>
      </c>
      <c r="D7" s="7" t="inlineStr">
        <is>
          <t>Milestone 5: Plans and payment</t>
        </is>
      </c>
      <c r="E7" s="7" t="inlineStr">
        <is>
          <t>Not Started</t>
        </is>
      </c>
      <c r="F7" s="7" t="inlineStr">
        <is>
          <t>M5.1</t>
        </is>
      </c>
      <c r="G7" s="7" t="inlineStr"/>
    </row>
    <row r="8">
      <c r="A8" s="7" t="inlineStr">
        <is>
          <t>FR-02.1</t>
        </is>
      </c>
      <c r="B8" s="7" t="inlineStr">
        <is>
          <t>Sistem memvalidasi token event dari QR/tautan sebelum menampilkan kamera.</t>
        </is>
      </c>
      <c r="C8" s="7" t="inlineStr">
        <is>
          <t>4.2</t>
        </is>
      </c>
      <c r="D8" s="7" t="inlineStr">
        <is>
          <t>Milestone 2: Guest captures and uploads</t>
        </is>
      </c>
      <c r="E8" s="7" t="inlineStr">
        <is>
          <t>Not Started</t>
        </is>
      </c>
      <c r="F8" s="7" t="inlineStr"/>
      <c r="G8" s="7" t="inlineStr"/>
    </row>
    <row r="9">
      <c r="A9" s="7" t="inlineStr">
        <is>
          <t>FR-02.2</t>
        </is>
      </c>
      <c r="B9" s="7" t="inlineStr">
        <is>
          <t>Sistem membuat &amp; menyimpan guest session ID unik per perangkat/browser (jika event menerapkan batas jepretan).</t>
        </is>
      </c>
      <c r="C9" s="7" t="inlineStr">
        <is>
          <t>4.2</t>
        </is>
      </c>
      <c r="D9" s="7" t="inlineStr">
        <is>
          <t>Milestone 2: Guest captures and uploads</t>
        </is>
      </c>
      <c r="E9" s="7" t="inlineStr">
        <is>
          <t>Not Started</t>
        </is>
      </c>
      <c r="F9" s="7" t="inlineStr"/>
      <c r="G9" s="7" t="inlineStr"/>
    </row>
    <row r="10">
      <c r="A10" s="7" t="inlineStr">
        <is>
          <t>FR-02.3</t>
        </is>
      </c>
      <c r="B10" s="7" t="inlineStr">
        <is>
          <t>Sistem menampilkan pesan status sesuai kondisi event (belum mulai/aktif/berakhir).</t>
        </is>
      </c>
      <c r="C10" s="7" t="inlineStr">
        <is>
          <t>4.2</t>
        </is>
      </c>
      <c r="D10" s="7" t="inlineStr">
        <is>
          <t>Milestone 2: Guest captures and uploads</t>
        </is>
      </c>
      <c r="E10" s="7" t="inlineStr">
        <is>
          <t>Not Started</t>
        </is>
      </c>
      <c r="F10" s="7" t="inlineStr"/>
      <c r="G10" s="7" t="inlineStr"/>
    </row>
    <row r="11">
      <c r="A11" s="7" t="inlineStr">
        <is>
          <t>FR-02.4</t>
        </is>
      </c>
      <c r="B11" s="7" t="inlineStr">
        <is>
          <t>Sistem menampilkan tema visual kamera sesuai kategori acara terkait.</t>
        </is>
      </c>
      <c r="C11" s="7" t="inlineStr">
        <is>
          <t>4.2</t>
        </is>
      </c>
      <c r="D11" s="7" t="inlineStr">
        <is>
          <t>Milestone 2: Guest captures and uploads</t>
        </is>
      </c>
      <c r="E11" s="7" t="inlineStr">
        <is>
          <t>Not Started</t>
        </is>
      </c>
      <c r="F11" s="7" t="inlineStr"/>
      <c r="G11" s="7" t="inlineStr"/>
    </row>
    <row r="12">
      <c r="A12" s="7" t="inlineStr">
        <is>
          <t>FR-03.1</t>
        </is>
      </c>
      <c r="B12" s="7" t="inlineStr">
        <is>
          <t>Sistem menyediakan akses kamera perangkat via Web API (getUserMedia) dengan fallback unggah manual.</t>
        </is>
      </c>
      <c r="C12" s="7" t="inlineStr">
        <is>
          <t>4.3</t>
        </is>
      </c>
      <c r="D12" s="7" t="inlineStr">
        <is>
          <t>Milestone 2: Guest captures and uploads</t>
        </is>
      </c>
      <c r="E12" s="7" t="inlineStr">
        <is>
          <t>Not Started</t>
        </is>
      </c>
      <c r="F12" s="7" t="inlineStr"/>
      <c r="G12" s="7" t="inlineStr"/>
    </row>
    <row r="13">
      <c r="A13" s="7" t="inlineStr">
        <is>
          <t>FR-03.2</t>
        </is>
      </c>
      <c r="B13" s="7" t="inlineStr">
        <is>
          <t>Sistem menerapkan filter visual sesuai tema kategori acara yang dipilih host.</t>
        </is>
      </c>
      <c r="C13" s="7" t="inlineStr">
        <is>
          <t>4.3</t>
        </is>
      </c>
      <c r="D13" s="7" t="inlineStr">
        <is>
          <t>Milestone 2: Guest captures and uploads</t>
        </is>
      </c>
      <c r="E13" s="7" t="inlineStr">
        <is>
          <t>Not Started</t>
        </is>
      </c>
      <c r="F13" s="7" t="inlineStr"/>
      <c r="G13" s="7" t="inlineStr"/>
    </row>
    <row r="14">
      <c r="A14" s="7" t="inlineStr">
        <is>
          <t>FR-03.3</t>
        </is>
      </c>
      <c r="B14" s="7" t="inlineStr">
        <is>
          <t>Sistem menegakkan (atau membebaskan) batas jumlah jepretan per sesi tamu sesuai konfigurasi event.</t>
        </is>
      </c>
      <c r="C14" s="7" t="inlineStr">
        <is>
          <t>4.3</t>
        </is>
      </c>
      <c r="D14" s="7" t="inlineStr">
        <is>
          <t>Milestone 2: Guest captures and uploads</t>
        </is>
      </c>
      <c r="E14" s="7" t="inlineStr">
        <is>
          <t>Not Started</t>
        </is>
      </c>
      <c r="F14" s="7" t="inlineStr"/>
      <c r="G14" s="7" t="inlineStr"/>
    </row>
    <row r="15">
      <c r="A15" s="7" t="inlineStr">
        <is>
          <t>FR-03.4</t>
        </is>
      </c>
      <c r="B15" s="7" t="inlineStr">
        <is>
          <t>Sistem mengantrekan unggahan secara offline-first saat koneksi tidak stabil.</t>
        </is>
      </c>
      <c r="C15" s="7" t="inlineStr">
        <is>
          <t>4.3</t>
        </is>
      </c>
      <c r="D15" s="7" t="inlineStr">
        <is>
          <t>Milestone 2: Guest captures and uploads</t>
        </is>
      </c>
      <c r="E15" s="7" t="inlineStr">
        <is>
          <t>Not Started</t>
        </is>
      </c>
      <c r="F15" s="7" t="inlineStr"/>
      <c r="G15" s="7" t="inlineStr"/>
    </row>
    <row r="16">
      <c r="A16" s="7" t="inlineStr">
        <is>
          <t>FR-03.5</t>
        </is>
      </c>
      <c r="B16" s="7" t="inlineStr">
        <is>
          <t>Sistem menyediakan pilihan format kolase/strip photobooth dengan hitung mundur &amp; burst capture otomatis.</t>
        </is>
      </c>
      <c r="C16" s="7" t="inlineStr">
        <is>
          <t>4.3</t>
        </is>
      </c>
      <c r="D16" s="7" t="inlineStr">
        <is>
          <t>Milestone 2: Guest captures and uploads</t>
        </is>
      </c>
      <c r="E16" s="7" t="inlineStr">
        <is>
          <t>Not Started</t>
        </is>
      </c>
      <c r="F16" s="7" t="inlineStr"/>
      <c r="G16" s="7" t="inlineStr"/>
    </row>
    <row r="17">
      <c r="A17" s="7" t="inlineStr">
        <is>
          <t>FR-03.6</t>
        </is>
      </c>
      <c r="B17" s="7" t="inlineStr">
        <is>
          <t>Sistem membatasi kustomisasi tampilan hasil pada layout, warna aksen, dan teks singkat saja (tanpa editor bebas).</t>
        </is>
      </c>
      <c r="C17" s="7" t="inlineStr">
        <is>
          <t>4.3</t>
        </is>
      </c>
      <c r="D17" s="7" t="inlineStr">
        <is>
          <t>Milestone 2: Guest captures and uploads</t>
        </is>
      </c>
      <c r="E17" s="7" t="inlineStr">
        <is>
          <t>Not Started</t>
        </is>
      </c>
      <c r="F17" s="7" t="inlineStr"/>
      <c r="G17" s="7" t="inlineStr"/>
    </row>
    <row r="18">
      <c r="A18" s="7" t="inlineStr">
        <is>
          <t>FR-04.1</t>
        </is>
      </c>
      <c r="B18" s="7" t="inlineStr">
        <is>
          <t>Sistem mendukung unggah multi-file dengan validasi format (JPEG/PNG/HEIC, MP4/MOV) dan batas ukuran.</t>
        </is>
      </c>
      <c r="C18" s="7" t="inlineStr">
        <is>
          <t>4.4</t>
        </is>
      </c>
      <c r="D18" s="7" t="inlineStr">
        <is>
          <t>Milestone 2: Guest captures and uploads</t>
        </is>
      </c>
      <c r="E18" s="7" t="inlineStr">
        <is>
          <t>Not Started</t>
        </is>
      </c>
      <c r="F18" s="7" t="inlineStr"/>
      <c r="G18" s="7" t="inlineStr"/>
    </row>
    <row r="19">
      <c r="A19" s="7" t="inlineStr">
        <is>
          <t>FR-04.2</t>
        </is>
      </c>
      <c r="B19" s="7" t="inlineStr">
        <is>
          <t>Sistem menyediakan toggle host untuk mengaktifkan/menonaktifkan unggah galeri per event.</t>
        </is>
      </c>
      <c r="C19" s="7" t="inlineStr">
        <is>
          <t>4.4</t>
        </is>
      </c>
      <c r="D19" s="7" t="inlineStr">
        <is>
          <t>Milestone 2: Guest captures and uploads</t>
        </is>
      </c>
      <c r="E19" s="7" t="inlineStr">
        <is>
          <t>Not Started</t>
        </is>
      </c>
      <c r="F19" s="7" t="inlineStr"/>
      <c r="G19" s="7" t="inlineStr"/>
    </row>
    <row r="20">
      <c r="A20" s="7" t="inlineStr">
        <is>
          <t>FR-05.1</t>
        </is>
      </c>
      <c r="B20" s="7" t="inlineStr">
        <is>
          <t>Sistem menjalankan job terjadwal untuk memeriksa &amp; memicu status reveal per event.</t>
        </is>
      </c>
      <c r="C20" s="7" t="inlineStr">
        <is>
          <t>4.5</t>
        </is>
      </c>
      <c r="D20" s="7" t="inlineStr">
        <is>
          <t>Milestone 3: Role-correct gallery</t>
        </is>
      </c>
      <c r="E20" s="7" t="inlineStr">
        <is>
          <t>Not Started</t>
        </is>
      </c>
      <c r="F20" s="7" t="inlineStr"/>
      <c r="G20" s="7" t="inlineStr"/>
    </row>
    <row r="21">
      <c r="A21" s="7" t="inlineStr">
        <is>
          <t>FR-05.2</t>
        </is>
      </c>
      <c r="B21" s="7" t="inlineStr">
        <is>
          <t>Sistem menampilkan halaman countdown bagi tamu saat Hall of Fame/ringkasan acara masih terkunci.</t>
        </is>
      </c>
      <c r="C21" s="7" t="inlineStr">
        <is>
          <t>4.5</t>
        </is>
      </c>
      <c r="D21" s="7" t="inlineStr">
        <is>
          <t>Milestone 3: Role-correct gallery</t>
        </is>
      </c>
      <c r="E21" s="7" t="inlineStr">
        <is>
          <t>Not Started</t>
        </is>
      </c>
      <c r="F21" s="7" t="inlineStr"/>
      <c r="G21" s="7" t="inlineStr"/>
    </row>
    <row r="22">
      <c r="A22" s="7" t="inlineStr">
        <is>
          <t>FR-05.3</t>
        </is>
      </c>
      <c r="B22" s="7" t="inlineStr">
        <is>
          <t>Sistem mengirim notifikasi (in-app/email) saat status galeri berubah menjadi terbuka.</t>
        </is>
      </c>
      <c r="C22" s="7" t="inlineStr">
        <is>
          <t>4.5</t>
        </is>
      </c>
      <c r="D22" s="7" t="inlineStr">
        <is>
          <t>Milestone 3: Role-correct gallery</t>
        </is>
      </c>
      <c r="E22" s="7" t="inlineStr">
        <is>
          <t>Not Started</t>
        </is>
      </c>
      <c r="F22" s="7" t="inlineStr"/>
      <c r="G22" s="7" t="inlineStr"/>
    </row>
    <row r="23">
      <c r="A23" s="7" t="inlineStr">
        <is>
          <t>FR-05.4</t>
        </is>
      </c>
      <c r="B23" s="7" t="inlineStr">
        <is>
          <t>Host dapat memicu reveal manual sebelum jadwal terjadwal, atau memilih mode tanpa delay sama sekali.</t>
        </is>
      </c>
      <c r="C23" s="7" t="inlineStr">
        <is>
          <t>4.5</t>
        </is>
      </c>
      <c r="D23" s="7" t="inlineStr">
        <is>
          <t>Milestone 3: Role-correct gallery</t>
        </is>
      </c>
      <c r="E23" s="7" t="inlineStr">
        <is>
          <t>Not Started</t>
        </is>
      </c>
      <c r="F23" s="7" t="inlineStr"/>
      <c r="G23" s="7" t="inlineStr"/>
    </row>
    <row r="24">
      <c r="A24" s="7" t="inlineStr">
        <is>
          <t>FR-05.5</t>
        </is>
      </c>
      <c r="B24" s="7" t="inlineStr">
        <is>
          <t>Sistem menyajikan galeri tamu yang hanya berisi media milik sesi tamu tersebut, ditegakkan pada level kueri backend.</t>
        </is>
      </c>
      <c r="C24" s="7" t="inlineStr">
        <is>
          <t>4.5</t>
        </is>
      </c>
      <c r="D24" s="7" t="inlineStr">
        <is>
          <t>Milestone 3: Role-correct gallery</t>
        </is>
      </c>
      <c r="E24" s="7" t="inlineStr">
        <is>
          <t>Not Started</t>
        </is>
      </c>
      <c r="F24" s="7" t="inlineStr"/>
      <c r="G24" s="7" t="inlineStr"/>
    </row>
    <row r="25">
      <c r="A25" s="7" t="inlineStr">
        <is>
          <t>FR-05.6</t>
        </is>
      </c>
      <c r="B25" s="7" t="inlineStr">
        <is>
          <t>Sistem menyajikan seluruh media event kepada pemilik event tanpa terikat status reveal.</t>
        </is>
      </c>
      <c r="C25" s="7" t="inlineStr">
        <is>
          <t>4.5</t>
        </is>
      </c>
      <c r="D25" s="7" t="inlineStr">
        <is>
          <t>Milestone 3: Role-correct gallery</t>
        </is>
      </c>
      <c r="E25" s="7" t="inlineStr">
        <is>
          <t>Not Started</t>
        </is>
      </c>
      <c r="F25" s="7" t="inlineStr"/>
      <c r="G25" s="7" t="inlineStr"/>
    </row>
    <row r="26">
      <c r="A26" s="7" t="inlineStr">
        <is>
          <t>FR-06.1</t>
        </is>
      </c>
      <c r="B26" s="7" t="inlineStr">
        <is>
          <t>Sistem menyediakan proses kompresi ZIP asinkron untuk seluruh media event.</t>
        </is>
      </c>
      <c r="C26" s="7" t="inlineStr">
        <is>
          <t>4.6</t>
        </is>
      </c>
      <c r="D26" s="7" t="inlineStr">
        <is>
          <t>Milestone 4: Moderate and export</t>
        </is>
      </c>
      <c r="E26" s="7" t="inlineStr">
        <is>
          <t>Not Started</t>
        </is>
      </c>
      <c r="F26" s="7" t="inlineStr"/>
      <c r="G26" s="7" t="inlineStr"/>
    </row>
    <row r="27">
      <c r="A27" s="7" t="inlineStr">
        <is>
          <t>FR-06.2</t>
        </is>
      </c>
      <c r="B27" s="7" t="inlineStr">
        <is>
          <t>Sistem menyediakan opsi unduh media individual sesuai hak akses peran masing-masing.</t>
        </is>
      </c>
      <c r="C27" s="7" t="inlineStr">
        <is>
          <t>4.6</t>
        </is>
      </c>
      <c r="D27" s="7" t="inlineStr">
        <is>
          <t>Milestone 4: Moderate and export</t>
        </is>
      </c>
      <c r="E27" s="7" t="inlineStr">
        <is>
          <t>Not Started</t>
        </is>
      </c>
      <c r="F27" s="7" t="inlineStr"/>
      <c r="G27" s="7" t="inlineStr"/>
    </row>
    <row r="28">
      <c r="A28" s="7" t="inlineStr">
        <is>
          <t>FR-06.3</t>
        </is>
      </c>
      <c r="B28" s="7" t="inlineStr">
        <is>
          <t>Sistem membatasi resolusi/kualitas unduhan sesuai tingkatan paket host, tanpa memblokir kemampuan unduh sama sekali pada paket gratis.</t>
        </is>
      </c>
      <c r="C28" s="7" t="inlineStr">
        <is>
          <t>4.6</t>
        </is>
      </c>
      <c r="D28" s="7" t="inlineStr">
        <is>
          <t>Milestone 4: Moderate and export</t>
        </is>
      </c>
      <c r="E28" s="7" t="inlineStr">
        <is>
          <t>Not Started</t>
        </is>
      </c>
      <c r="F28" s="7" t="inlineStr"/>
      <c r="G28" s="7" t="inlineStr"/>
    </row>
    <row r="29">
      <c r="A29" s="7" t="inlineStr">
        <is>
          <t>FR-06.4</t>
        </is>
      </c>
      <c r="B29" s="7" t="inlineStr">
        <is>
          <t>Sistem memungkinkan tamu membagikan media miliknya ke beberapa penerima (email/tautan/QR) dengan cakupan terbatas pada media miliknya sendiri.</t>
        </is>
      </c>
      <c r="C29" s="7" t="inlineStr">
        <is>
          <t>4.6</t>
        </is>
      </c>
      <c r="D29" s="7" t="inlineStr">
        <is>
          <t>Milestone 4: Moderate and export</t>
        </is>
      </c>
      <c r="E29" s="7" t="inlineStr">
        <is>
          <t>Not Started</t>
        </is>
      </c>
      <c r="F29" s="7" t="inlineStr"/>
      <c r="G29" s="7" t="inlineStr"/>
    </row>
    <row r="30">
      <c r="A30" s="7" t="inlineStr">
        <is>
          <t>FR-07.1</t>
        </is>
      </c>
      <c r="B30" s="7" t="inlineStr">
        <is>
          <t>Sistem menyediakan panel ringkasan statistik event secara real-time bagi host.</t>
        </is>
      </c>
      <c r="C30" s="7" t="inlineStr">
        <is>
          <t>4.7</t>
        </is>
      </c>
      <c r="D30" s="7" t="inlineStr">
        <is>
          <t>Milestone 4: Moderate and export</t>
        </is>
      </c>
      <c r="E30" s="7" t="inlineStr">
        <is>
          <t>Not Started</t>
        </is>
      </c>
      <c r="F30" s="7" t="inlineStr"/>
      <c r="G30" s="7" t="inlineStr"/>
    </row>
    <row r="31">
      <c r="A31" s="7" t="inlineStr">
        <is>
          <t>FR-07.2</t>
        </is>
      </c>
      <c r="B31" s="7" t="inlineStr">
        <is>
          <t>Sistem menyediakan aksi sembunyikan/hapus per item media dengan konfirmasi &amp; jendela undo.</t>
        </is>
      </c>
      <c r="C31" s="7" t="inlineStr">
        <is>
          <t>4.7</t>
        </is>
      </c>
      <c r="D31" s="7" t="inlineStr">
        <is>
          <t>Milestone 4: Moderate and export</t>
        </is>
      </c>
      <c r="E31" s="7" t="inlineStr">
        <is>
          <t>Not Started</t>
        </is>
      </c>
      <c r="F31" s="7" t="inlineStr"/>
      <c r="G31" s="7" t="inlineStr"/>
    </row>
    <row r="32">
      <c r="A32" s="7" t="inlineStr">
        <is>
          <t>FR-07.3</t>
        </is>
      </c>
      <c r="B32" s="7" t="inlineStr">
        <is>
          <t>Sistem menyediakan mekanisme pelaporan konten untuk eskalasi ke admin internal.</t>
        </is>
      </c>
      <c r="C32" s="7" t="inlineStr">
        <is>
          <t>4.7</t>
        </is>
      </c>
      <c r="D32" s="7" t="inlineStr">
        <is>
          <t>Milestone 4: Moderate and export</t>
        </is>
      </c>
      <c r="E32" s="7" t="inlineStr">
        <is>
          <t>Not Started</t>
        </is>
      </c>
      <c r="F32" s="7" t="inlineStr"/>
      <c r="G32" s="7" t="inlineStr"/>
    </row>
    <row r="33">
      <c r="A33" s="7" t="inlineStr">
        <is>
          <t>FR-08.1</t>
        </is>
      </c>
      <c r="B33" s="7" t="inlineStr">
        <is>
          <t>Sistem menjadwalkan &amp; mengirim notifikasi email transaksional berbasis event lifecycle.</t>
        </is>
      </c>
      <c r="C33" s="7" t="inlineStr">
        <is>
          <t>4.8</t>
        </is>
      </c>
      <c r="D33" s="7" t="inlineStr">
        <is>
          <t>Backlog: Should-have and later phases</t>
        </is>
      </c>
      <c r="E33" s="7" t="inlineStr">
        <is>
          <t>Not Started</t>
        </is>
      </c>
      <c r="F33" s="7" t="inlineStr"/>
      <c r="G33" s="7" t="inlineStr"/>
    </row>
    <row r="34">
      <c r="A34" s="7" t="inlineStr">
        <is>
          <t>FR-08.2</t>
        </is>
      </c>
      <c r="B34" s="7" t="inlineStr">
        <is>
          <t>Sistem mencatat preferensi opt-in/opt-out notifikasi per kontak.</t>
        </is>
      </c>
      <c r="C34" s="7" t="inlineStr">
        <is>
          <t>4.8</t>
        </is>
      </c>
      <c r="D34" s="7" t="inlineStr">
        <is>
          <t>Backlog: Should-have and later phases</t>
        </is>
      </c>
      <c r="E34" s="7" t="inlineStr">
        <is>
          <t>Not Started</t>
        </is>
      </c>
      <c r="F34" s="7" t="inlineStr"/>
      <c r="G34" s="7" t="inlineStr"/>
    </row>
    <row r="35">
      <c r="A35" s="7" t="inlineStr">
        <is>
          <t>FR-09.1</t>
        </is>
      </c>
      <c r="B35" s="7" t="inlineStr">
        <is>
          <t>Sistem menyediakan autentikasi berbasis OTP (email/SMS).</t>
        </is>
      </c>
      <c r="C35" s="7" t="inlineStr">
        <is>
          <t>4.9</t>
        </is>
      </c>
      <c r="D35" s="7" t="inlineStr">
        <is>
          <t>Milestone 1: Host creates an event</t>
        </is>
      </c>
      <c r="E35" s="7" t="inlineStr">
        <is>
          <t>Partial</t>
        </is>
      </c>
      <c r="F35" s="7" t="inlineStr">
        <is>
          <t>T3.3, T3.5, T3.6, T3.7, T3.8, T6.1, T7.1</t>
        </is>
      </c>
      <c r="G35" s="7" t="inlineStr">
        <is>
          <t>email OTP over REST and gRPC; host sign-in page /auth/login (two steps, localised errors, rate-limit and lockout wait); verified live against real Redis and Mailpit (T3.8, T7.1); SMS not implemented</t>
        </is>
      </c>
    </row>
    <row r="36">
      <c r="A36" s="7" t="inlineStr">
        <is>
          <t>FR-09.2</t>
        </is>
      </c>
      <c r="B36" s="7" t="inlineStr">
        <is>
          <t>Sistem mengintegrasikan payment gateway lokal (QRIS, e-wallet, kartu) yang mendukung nominal mikro.</t>
        </is>
      </c>
      <c r="C36" s="7" t="inlineStr">
        <is>
          <t>4.9</t>
        </is>
      </c>
      <c r="D36" s="7" t="inlineStr">
        <is>
          <t>Milestone 5: Plans and payment</t>
        </is>
      </c>
      <c r="E36" s="7" t="inlineStr">
        <is>
          <t>Not Started</t>
        </is>
      </c>
      <c r="F36" s="7" t="inlineStr">
        <is>
          <t>M5.1</t>
        </is>
      </c>
      <c r="G36" s="7" t="inlineStr"/>
    </row>
    <row r="37">
      <c r="A37" s="7" t="inlineStr">
        <is>
          <t>FR-09.3</t>
        </is>
      </c>
      <c r="B37" s="7" t="inlineStr">
        <is>
          <t>Sistem mencatat riwayat transaksi &amp; status langganan per host.</t>
        </is>
      </c>
      <c r="C37" s="7" t="inlineStr">
        <is>
          <t>4.9</t>
        </is>
      </c>
      <c r="D37" s="7" t="inlineStr">
        <is>
          <t>Milestone 5: Plans and payment</t>
        </is>
      </c>
      <c r="E37" s="7" t="inlineStr">
        <is>
          <t>Not Started</t>
        </is>
      </c>
      <c r="F37" s="7" t="inlineStr">
        <is>
          <t>M5.1</t>
        </is>
      </c>
      <c r="G37" s="7" t="inlineStr"/>
    </row>
    <row r="38">
      <c r="A38" s="7" t="inlineStr">
        <is>
          <t>FR-10.1</t>
        </is>
      </c>
      <c r="B38" s="7" t="inlineStr">
        <is>
          <t>Sistem menyediakan jalur "Capture Langsung" dari halaman utama tanpa mewajibkan pembuatan event.</t>
        </is>
      </c>
      <c r="C38" s="7" t="inlineStr">
        <is>
          <t>4.10</t>
        </is>
      </c>
      <c r="D38" s="7" t="inlineStr">
        <is>
          <t>Backlog: Should-have and later phases</t>
        </is>
      </c>
      <c r="E38" s="7" t="inlineStr">
        <is>
          <t>Not Started</t>
        </is>
      </c>
      <c r="F38" s="7" t="inlineStr"/>
      <c r="G38" s="7" t="inlineStr"/>
    </row>
    <row r="39">
      <c r="A39" s="7" t="inlineStr">
        <is>
          <t>FR-10.2</t>
        </is>
      </c>
      <c r="B39" s="7" t="inlineStr">
        <is>
          <t>Sistem memproses hasil secara instan/sinkron untuk mode ini (target \&lt; beberapa detik).</t>
        </is>
      </c>
      <c r="C39" s="7" t="inlineStr">
        <is>
          <t>4.10</t>
        </is>
      </c>
      <c r="D39" s="7" t="inlineStr">
        <is>
          <t>Backlog: Should-have and later phases</t>
        </is>
      </c>
      <c r="E39" s="7" t="inlineStr">
        <is>
          <t>Not Started</t>
        </is>
      </c>
      <c r="F39" s="7" t="inlineStr"/>
      <c r="G39" s="7" t="inlineStr"/>
    </row>
    <row r="40">
      <c r="A40" s="7" t="inlineStr">
        <is>
          <t>FR-10.3</t>
        </is>
      </c>
      <c r="B40" s="7" t="inlineStr">
        <is>
          <t>Sistem mendukung pengiriman ke banyak alamat email sekaligus dalam satu aksi.</t>
        </is>
      </c>
      <c r="C40" s="7" t="inlineStr">
        <is>
          <t>4.10</t>
        </is>
      </c>
      <c r="D40" s="7" t="inlineStr">
        <is>
          <t>Backlog: Should-have and later phases</t>
        </is>
      </c>
      <c r="E40" s="7" t="inlineStr">
        <is>
          <t>Not Started</t>
        </is>
      </c>
      <c r="F40" s="7" t="inlineStr"/>
      <c r="G40" s="7" t="inlineStr"/>
    </row>
    <row r="41">
      <c r="A41" s="7" t="inlineStr">
        <is>
          <t>FR-10.4</t>
        </is>
      </c>
      <c r="B41" s="7" t="inlineStr">
        <is>
          <t>Sistem menghasilkan tautan unduh bertoken unik dan/atau QR sekali pakai dengan masa berlaku terbatas.</t>
        </is>
      </c>
      <c r="C41" s="7" t="inlineStr">
        <is>
          <t>4.10</t>
        </is>
      </c>
      <c r="D41" s="7" t="inlineStr">
        <is>
          <t>Backlog: Should-have and later phases</t>
        </is>
      </c>
      <c r="E41" s="7" t="inlineStr">
        <is>
          <t>Not Started</t>
        </is>
      </c>
      <c r="F41" s="7" t="inlineStr"/>
      <c r="G41" s="7" t="inlineStr"/>
    </row>
    <row r="42">
      <c r="A42" s="7" t="inlineStr">
        <is>
          <t>FR-10.5</t>
        </is>
      </c>
      <c r="B42" s="7" t="inlineStr">
        <is>
          <t>Sistem menetapkan masa simpan hasil berdasarkan status akun (7 hari anonim / 30 hari login / permanen berbayar) dan menjalankan job penghapusan otomatis saat kedaluwarsa.</t>
        </is>
      </c>
      <c r="C42" s="7" t="inlineStr">
        <is>
          <t>4.10</t>
        </is>
      </c>
      <c r="D42" s="7" t="inlineStr">
        <is>
          <t>Backlog: Should-have and later phases</t>
        </is>
      </c>
      <c r="E42" s="7" t="inlineStr">
        <is>
          <t>Not Started</t>
        </is>
      </c>
      <c r="F42" s="7" t="inlineStr"/>
      <c r="G42" s="7" t="inlineStr"/>
    </row>
    <row r="43">
      <c r="A43" s="7" t="inlineStr">
        <is>
          <t>FR-10.6</t>
        </is>
      </c>
      <c r="B43" s="7" t="inlineStr">
        <is>
          <t>Sistem mengaitkan hasil anonim ke akun pengguna saat pengguna login, beserta perpanjangan masa simpannya.</t>
        </is>
      </c>
      <c r="C43" s="7" t="inlineStr">
        <is>
          <t>4.10</t>
        </is>
      </c>
      <c r="D43" s="7" t="inlineStr">
        <is>
          <t>Backlog: Should-have and later phases</t>
        </is>
      </c>
      <c r="E43" s="7" t="inlineStr">
        <is>
          <t>Not Started</t>
        </is>
      </c>
      <c r="F43" s="7" t="inlineStr"/>
      <c r="G43" s="7" t="inlineStr"/>
    </row>
    <row r="44">
      <c r="A44" s="7" t="inlineStr">
        <is>
          <t>FR-10.7</t>
        </is>
      </c>
      <c r="B44" s="7" t="inlineStr">
        <is>
          <t>Sistem mengirim notifikasi sebelum hasil kedaluwarsa beserta opsi memperpanjang (login atau upgrade berbayar).</t>
        </is>
      </c>
      <c r="C44" s="7" t="inlineStr">
        <is>
          <t>4.10</t>
        </is>
      </c>
      <c r="D44" s="7" t="inlineStr">
        <is>
          <t>Backlog: Should-have and later phases</t>
        </is>
      </c>
      <c r="E44" s="7" t="inlineStr">
        <is>
          <t>Not Started</t>
        </is>
      </c>
      <c r="F44" s="7" t="inlineStr"/>
      <c r="G44" s="7" t="inlineStr"/>
    </row>
    <row r="45">
      <c r="A45" s="7" t="inlineStr">
        <is>
          <t>FR-11.1</t>
        </is>
      </c>
      <c r="B45" s="7" t="inlineStr">
        <is>
          <t>Sistem menyediakan aksi tandai/lepas tanda Hall of Fame per item media bagi host.</t>
        </is>
      </c>
      <c r="C45" s="7" t="inlineStr">
        <is>
          <t>4.11</t>
        </is>
      </c>
      <c r="D45" s="7" t="inlineStr">
        <is>
          <t>Backlog: Should-have and later phases</t>
        </is>
      </c>
      <c r="E45" s="7" t="inlineStr">
        <is>
          <t>Not Started</t>
        </is>
      </c>
      <c r="F45" s="7" t="inlineStr"/>
      <c r="G45" s="7" t="inlineStr"/>
    </row>
    <row r="46">
      <c r="A46" s="7" t="inlineStr">
        <is>
          <t>FR-11.2</t>
        </is>
      </c>
      <c r="B46" s="7" t="inlineStr">
        <is>
          <t>Sistem menyediakan halaman Hall of Fame dengan tautan berbagi tersendiri.</t>
        </is>
      </c>
      <c r="C46" s="7" t="inlineStr">
        <is>
          <t>4.11</t>
        </is>
      </c>
      <c r="D46" s="7" t="inlineStr">
        <is>
          <t>Backlog: Should-have and later phases</t>
        </is>
      </c>
      <c r="E46" s="7" t="inlineStr">
        <is>
          <t>Not Started</t>
        </is>
      </c>
      <c r="F46" s="7" t="inlineStr"/>
      <c r="G46" s="7" t="inlineStr"/>
    </row>
    <row r="47">
      <c r="A47" s="7" t="inlineStr">
        <is>
          <t>FR-11.3</t>
        </is>
      </c>
      <c r="B47" s="7" t="inlineStr">
        <is>
          <t>Sistem mendukung pengaturan ulang urutan tampilan item Hall of Fame.</t>
        </is>
      </c>
      <c r="C47" s="7" t="inlineStr">
        <is>
          <t>4.11</t>
        </is>
      </c>
      <c r="D47" s="7" t="inlineStr">
        <is>
          <t>Backlog: Should-have and later phases</t>
        </is>
      </c>
      <c r="E47" s="7" t="inlineStr">
        <is>
          <t>Not Started</t>
        </is>
      </c>
      <c r="F47" s="7" t="inlineStr"/>
      <c r="G47" s="7" t="inlineStr"/>
    </row>
    <row r="48">
      <c r="A48" s="7" t="inlineStr">
        <is>
          <t>FR-11.4</t>
        </is>
      </c>
      <c r="B48" s="7" t="inlineStr">
        <is>
          <t>Sistem otomatis mengeluarkan media dari Hall of Fame bila media tersebut dihapus/disembunyikan.</t>
        </is>
      </c>
      <c r="C48" s="7" t="inlineStr">
        <is>
          <t>4.11</t>
        </is>
      </c>
      <c r="D48" s="7" t="inlineStr">
        <is>
          <t>Backlog: Should-have and later phases</t>
        </is>
      </c>
      <c r="E48" s="7" t="inlineStr">
        <is>
          <t>Not Started</t>
        </is>
      </c>
      <c r="F48" s="7" t="inlineStr"/>
      <c r="G48" s="7" t="inlineStr"/>
    </row>
    <row r="49">
      <c r="A49" s="7" t="inlineStr">
        <is>
          <t>FR-11.5</t>
        </is>
      </c>
      <c r="B49" s="7" t="inlineStr">
        <is>
          <t>(Opsional) Sistem menyediakan daftar kandidat berdasarkan jumlah reaksi tamu sebagai saran kurasi.</t>
        </is>
      </c>
      <c r="C49" s="7" t="inlineStr">
        <is>
          <t>4.11</t>
        </is>
      </c>
      <c r="D49" s="7" t="inlineStr">
        <is>
          <t>Backlog: Should-have and later phases</t>
        </is>
      </c>
      <c r="E49" s="7" t="inlineStr">
        <is>
          <t>Not Started</t>
        </is>
      </c>
      <c r="F49" s="7" t="inlineStr"/>
      <c r="G49" s="7" t="inlineStr"/>
    </row>
    <row r="50">
      <c r="A50" s="7" t="inlineStr">
        <is>
          <t>FR-SEC.1</t>
        </is>
      </c>
      <c r="B50" s="7" t="inlineStr">
        <is>
          <t>Sistem menyajikan seluruh media hanya melalui pre-signed URL berumur pendek; tidak ada objek yang dapat diakses publik secara permanen.</t>
        </is>
      </c>
      <c r="C50" s="7" t="inlineStr">
        <is>
          <t>8.12</t>
        </is>
      </c>
      <c r="D50" s="7" t="inlineStr">
        <is>
          <t>Milestone 6: Privacy and compliance readiness</t>
        </is>
      </c>
      <c r="E50" s="7" t="inlineStr">
        <is>
          <t>Not Started</t>
        </is>
      </c>
      <c r="F50" s="7" t="inlineStr"/>
      <c r="G50" s="7" t="inlineStr"/>
    </row>
    <row r="51">
      <c r="A51" s="7" t="inlineStr">
        <is>
          <t>FR-SEC.2</t>
        </is>
      </c>
      <c r="B51" s="7" t="inlineStr">
        <is>
          <t>Sistem membersihkan metadata EXIF (termasuk koordinat GPS) dari seluruh media sebelum disimpan.</t>
        </is>
      </c>
      <c r="C51" s="7" t="inlineStr">
        <is>
          <t>8.12</t>
        </is>
      </c>
      <c r="D51" s="7" t="inlineStr">
        <is>
          <t>Milestone 6: Privacy and compliance readiness</t>
        </is>
      </c>
      <c r="E51" s="7" t="inlineStr">
        <is>
          <t>Not Started</t>
        </is>
      </c>
      <c r="F51" s="7" t="inlineStr"/>
      <c r="G51" s="7" t="inlineStr"/>
    </row>
    <row r="52">
      <c r="A52" s="7" t="inlineStr">
        <is>
          <t>FR-SEC.3</t>
        </is>
      </c>
      <c r="B52" s="7" t="inlineStr">
        <is>
          <t>Sistem memvalidasi tipe berkas unggahan berdasarkan magic bytes dan menolak berkas yang tidak sesuai.</t>
        </is>
      </c>
      <c r="C52" s="7" t="inlineStr">
        <is>
          <t>8.12</t>
        </is>
      </c>
      <c r="D52" s="7" t="inlineStr">
        <is>
          <t>Milestone 6: Privacy and compliance readiness</t>
        </is>
      </c>
      <c r="E52" s="7" t="inlineStr">
        <is>
          <t>Not Started</t>
        </is>
      </c>
      <c r="F52" s="7" t="inlineStr"/>
      <c r="G52" s="7" t="inlineStr"/>
    </row>
    <row r="53">
      <c r="A53" s="7" t="inlineStr">
        <is>
          <t>FR-SEC.4</t>
        </is>
      </c>
      <c r="B53" s="7" t="inlineStr">
        <is>
          <t>Sistem menyimpan token pada cookie HttpOnly + Secure + SameSite dan menyediakan mekanisme pencabutan token.</t>
        </is>
      </c>
      <c r="C53" s="7" t="inlineStr">
        <is>
          <t>8.12</t>
        </is>
      </c>
      <c r="D53" s="7" t="inlineStr">
        <is>
          <t>Milestone 1: Host creates an event</t>
        </is>
      </c>
      <c r="E53" s="7" t="inlineStr">
        <is>
          <t>Partial</t>
        </is>
      </c>
      <c r="F53" s="7" t="inlineStr">
        <is>
          <t>T3.5, T3.6, T3.10</t>
        </is>
      </c>
      <c r="G53" s="7" t="inlineStr">
        <is>
          <t>HttpOnly/SameSite cookie, hashed expiring tokens; refresh and revocation pending</t>
        </is>
      </c>
    </row>
    <row r="54">
      <c r="A54" s="7" t="inlineStr">
        <is>
          <t>FR-SEC.5</t>
        </is>
      </c>
      <c r="B54" s="7" t="inlineStr">
        <is>
          <t>Sistem mengenkripsi kolom PII (email, nomor HP) pada PostgreSQL dengan kunci terpisah dari kunci media.</t>
        </is>
      </c>
      <c r="C54" s="7" t="inlineStr">
        <is>
          <t>8.12</t>
        </is>
      </c>
      <c r="D54" s="7" t="inlineStr">
        <is>
          <t>Milestone 6: Privacy and compliance readiness</t>
        </is>
      </c>
      <c r="E54" s="7" t="inlineStr">
        <is>
          <t>Not Started</t>
        </is>
      </c>
      <c r="F54" s="7" t="inlineStr">
        <is>
          <t>M6.1</t>
        </is>
      </c>
      <c r="G54" s="7" t="inlineStr"/>
    </row>
    <row r="55">
      <c r="A55" s="7" t="inlineStr">
        <is>
          <t>FR-SEC.6</t>
        </is>
      </c>
      <c r="B55" s="7" t="inlineStr">
        <is>
          <t>Sistem mencatat audit log append-only untuk seluruh aksi sensitif tanpa memuat PII/token mentah.</t>
        </is>
      </c>
      <c r="C55" s="7" t="inlineStr">
        <is>
          <t>8.12</t>
        </is>
      </c>
      <c r="D55" s="7" t="inlineStr">
        <is>
          <t>Milestone 6: Privacy and compliance readiness</t>
        </is>
      </c>
      <c r="E55" s="7" t="inlineStr">
        <is>
          <t>Not Started</t>
        </is>
      </c>
      <c r="F55" s="7" t="inlineStr"/>
      <c r="G55" s="7" t="inlineStr"/>
    </row>
    <row r="56">
      <c r="A56" s="7" t="inlineStr">
        <is>
          <t>FR-SEC.7</t>
        </is>
      </c>
      <c r="B56" s="7" t="inlineStr">
        <is>
          <t>Sistem memungkinkan pemilik event mencabut tautan/QR event maupun tautan berbagi yang telah dibuat.</t>
        </is>
      </c>
      <c r="C56" s="7" t="inlineStr">
        <is>
          <t>8.12</t>
        </is>
      </c>
      <c r="D56" s="7" t="inlineStr">
        <is>
          <t>Milestone 6: Privacy and compliance readiness</t>
        </is>
      </c>
      <c r="E56" s="7" t="inlineStr">
        <is>
          <t>Not Started</t>
        </is>
      </c>
      <c r="F56" s="7" t="inlineStr"/>
      <c r="G56" s="7" t="inlineStr"/>
    </row>
    <row r="57">
      <c r="A57" s="7" t="inlineStr">
        <is>
          <t>FR-SEC.8</t>
        </is>
      </c>
      <c r="B57" s="7" t="inlineStr">
        <is>
          <t>Sistem menghapus seluruh salinan data (storage, basis data, cache, backup) saat masa simpan berakhir atau atas permintaan penghapusan yang sah.</t>
        </is>
      </c>
      <c r="C57" s="7" t="inlineStr">
        <is>
          <t>8.12</t>
        </is>
      </c>
      <c r="D57" s="7" t="inlineStr">
        <is>
          <t>Milestone 6: Privacy and compliance readiness</t>
        </is>
      </c>
      <c r="E57" s="7" t="inlineStr">
        <is>
          <t>Not Started</t>
        </is>
      </c>
      <c r="F57" s="7" t="inlineStr"/>
      <c r="G57" s="7" t="inlineStr"/>
    </row>
    <row r="58">
      <c r="A58" s="7" t="inlineStr">
        <is>
          <t>FR-SEC.9</t>
        </is>
      </c>
      <c r="B58" s="7" t="inlineStr">
        <is>
          <t>Sistem menerapkan rate limiting berbasis Redis pada endpoint OTP, unggah, dan pembuatan tautan berbagi.</t>
        </is>
      </c>
      <c r="C58" s="7" t="inlineStr">
        <is>
          <t>8.12</t>
        </is>
      </c>
      <c r="D58" s="7" t="inlineStr">
        <is>
          <t>Milestone 1: Host creates an event</t>
        </is>
      </c>
      <c r="E58" s="7" t="inlineStr">
        <is>
          <t>Partial</t>
        </is>
      </c>
      <c r="F58" s="7" t="inlineStr">
        <is>
          <t>T3.5, T3.6</t>
        </is>
      </c>
      <c r="G58" s="7" t="inlineStr">
        <is>
          <t>Redis rate limiting on OTP endpoints; upload and share-link limits pending</t>
        </is>
      </c>
    </row>
    <row r="59">
      <c r="A59" s="7" t="inlineStr">
        <is>
          <t>FR-SEC.10</t>
        </is>
      </c>
      <c r="B59" s="7" t="inlineStr">
        <is>
          <t>Sistem menyertakan header X-Robots-Tag: noindex pada seluruh halaman galeri dan media agar tidak terindeks mesin pencari.</t>
        </is>
      </c>
      <c r="C59" s="7" t="inlineStr">
        <is>
          <t>8.12</t>
        </is>
      </c>
      <c r="D59" s="7" t="inlineStr">
        <is>
          <t>Milestone 6: Privacy and compliance readiness</t>
        </is>
      </c>
      <c r="E59" s="7" t="inlineStr">
        <is>
          <t>Not Started</t>
        </is>
      </c>
      <c r="F59" s="7" t="inlineStr"/>
      <c r="G59" s="7" t="inlineStr"/>
    </row>
  </sheetData>
  <autoFilter ref="A1:G59"/>
  <conditionalFormatting sqref="E2:E59">
    <cfRule type="expression" priority="1" dxfId="0">
      <formula>$E2="Not Started"</formula>
    </cfRule>
    <cfRule type="expression" priority="2" dxfId="1">
      <formula>$E2="In Progress"</formula>
    </cfRule>
    <cfRule type="expression" priority="3" dxfId="2">
      <formula>$E2="Pending Verification"</formula>
    </cfRule>
    <cfRule type="expression" priority="4" dxfId="3">
      <formula>$E2="Completed"</formula>
    </cfRule>
    <cfRule type="expression" priority="5" dxfId="1">
      <formula>$E2="Partial"</formula>
    </cfRule>
  </conditionalFormatting>
  <dataValidations count="1">
    <dataValidation sqref="E2:E59" showDropDown="0" showInputMessage="0" showErrorMessage="0" allowBlank="0" type="list">
      <formula1>"Not Started,Partial,Completed"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2026-09-23T04:50:53Z</dcterms:created>
  <dcterms:modified xmlns:dcterms="http://purl.org/dc/terms/" xmlns:xsi="http://www.w3.org/2001/XMLSchema-instance" xsi:type="dcterms:W3CDTF">2026-09-23T04:50:53Z</dcterms:modified>
</cp:coreProperties>
</file>